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Ops_Detail" sheetId="2" state="visible" r:id="rId4"/>
    <sheet name="FU_Summary" sheetId="3" state="visible" r:id="rId5"/>
    <sheet name="Interfaces" sheetId="4" state="visible" r:id="rId6"/>
    <sheet name="Buff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<sst xmlns="http://schemas.openxmlformats.org/spreadsheetml/2006/main" count="664" uniqueCount="404">
  <si>
    <t xml:space="preserve">PHƯƠNG PHÁP TÍNH — tổng kết FU × phép toán × interface (1 layer DeepSeek CSA)</t>
  </si>
  <si>
    <t xml:space="preserve">Phạm vi</t>
  </si>
  <si>
    <t xml:space="preserve">1 layer CSA của dataflow thực thể (vẽ lại từ deepseek-dataflow.xml); biến thể HCA khác ở cụm ④ (bỏ indexer) và KV đọc = 12 entry.</t>
  </si>
  <si>
    <t xml:space="preserve">Ví dụ số (theo file nguồn)</t>
  </si>
  <si>
    <t xml:space="preserve">B=1, n=11</t>
  </si>
  <si>
    <t xml:space="preserve">d=4096, n_hc=4, n_h=64, c=512, d_c=1024, m=4, m'=128, d_ff=2048, 6/384 routed + 1 shared expert.</t>
  </si>
  <si>
    <t xml:space="preserve">Clock FU (GHz)</t>
  </si>
  <si>
    <t xml:space="preserve">DSP48 @600 MHz (theo spec V4-Flash 2×U250).</t>
  </si>
  <si>
    <t xml:space="preserve">Ops/DSP/chu kỳ</t>
  </si>
  <si>
    <t xml:space="preserve">2 MAC packed × 2 op (nhân+cộng) → Peak GOPS = DSP × 4 × 0,6.</t>
  </si>
  <si>
    <t xml:space="preserve">BW DDR4 (GB/s)</t>
  </si>
  <si>
    <t xml:space="preserve">4 kênh DDR4, hiệu dụng (AMD DS962).</t>
  </si>
  <si>
    <t xml:space="preserve">BW RAB (GB/s)</t>
  </si>
  <si>
    <t xml:space="preserve">RA-bus AXI4-Stream 1152b @600 MHz.</t>
  </si>
  <si>
    <t xml:space="preserve">BW WTB (GB/s)</t>
  </si>
  <si>
    <t xml:space="preserve">WT-bus 2304b @600 MHz (mỗi SLR).</t>
  </si>
  <si>
    <t xml:space="preserve">BW KVB (GB/s)</t>
  </si>
  <si>
    <t xml:space="preserve">KV-bus 2304b @600 MHz.</t>
  </si>
  <si>
    <t xml:space="preserve">BW PSA (GB/s)</t>
  </si>
  <si>
    <t xml:space="preserve">PS-bus 1152b @600 MHz.</t>
  </si>
  <si>
    <t xml:space="preserve">Cửa sổ FU (ms)</t>
  </si>
  <si>
    <t xml:space="preserve">Bằng MAX( bytes weight ÷ BW DDR , GOP ÷ Peak GOPS ) — weight stream qua WTB không cache.</t>
  </si>
  <si>
    <t xml:space="preserve">GOPS đạt</t>
  </si>
  <si>
    <t xml:space="preserve">Bằng GOP ÷ cửa sổ. AI (FLOP/B) = GOP ÷ tổng bytes di chuyển (weight + act vào + ra).</t>
  </si>
  <si>
    <t xml:space="preserve">Ridge (FLOP/B)</t>
  </si>
  <si>
    <t xml:space="preserve">Bằng Peak GOPS ÷ BW nguồn chi phối. AI &lt; ridge → memory-bound; AI ≥ ridge → compute-bound.</t>
  </si>
  <si>
    <t xml:space="preserve">Bytes</t>
  </si>
  <si>
    <t xml:space="preserve">Tính theo dtype trong file nguồn: BF16/FP16 = 2 B, FP8 = 1 B, FP4 = 0,5 B, FP32 = 4 B, INT32 = 4 B.</t>
  </si>
  <si>
    <t xml:space="preserve">Nguồn dữ liệu</t>
  </si>
  <si>
    <t xml:space="preserve">deepseek-dataflow.xml (phép toán, shape, dtype) + spec FU/bus DeepSeek_V4Flash_2xU250_Explorer (DSP, bus, BW). Số bytes/GOP là giá trị dẫn xuất, người dùng đổi ô XANH để cập nhật.</t>
  </si>
  <si>
    <t xml:space="preserve">Lưu ý B=1</t>
  </si>
  <si>
    <t xml:space="preserve">n=11 token → AI theo weight của mọi GEMM = 2n = 22 FLOP/B: trừ ACU, toàn bộ GEMM lớn memory-bound. Tăng batch B để khấu hao weight.</t>
  </si>
  <si>
    <t xml:space="preserve">Ô XANH (chữ xanh/nền vàng) = tham số đầu vào chỉnh được; ô đen = công thức tự tính.</t>
  </si>
  <si>
    <t xml:space="preserve">STT</t>
  </si>
  <si>
    <t xml:space="preserve">Op</t>
  </si>
  <si>
    <t xml:space="preserve">Cụm</t>
  </si>
  <si>
    <t xml:space="preserve">FU</t>
  </si>
  <si>
    <t xml:space="preserve">Công thức (ký hiệu dataflow thực thể)</t>
  </si>
  <si>
    <t xml:space="preserve">Biến vào (act)</t>
  </si>
  <si>
    <t xml:space="preserve">Buffer vào 1</t>
  </si>
  <si>
    <t xml:space="preserve">Bytes vào 1</t>
  </si>
  <si>
    <t xml:space="preserve">Buffer vào 2</t>
  </si>
  <si>
    <t xml:space="preserve">Bytes vào 2</t>
  </si>
  <si>
    <t xml:space="preserve">Weight (stream WTB←DDR4)</t>
  </si>
  <si>
    <t xml:space="preserve">Bytes weight</t>
  </si>
  <si>
    <t xml:space="preserve">Biến ra</t>
  </si>
  <si>
    <t xml:space="preserve">Buffer ra 1</t>
  </si>
  <si>
    <t xml:space="preserve">Bytes ra 1</t>
  </si>
  <si>
    <t xml:space="preserve">Buffer ra 2</t>
  </si>
  <si>
    <t xml:space="preserve">Bytes ra 2</t>
  </si>
  <si>
    <t xml:space="preserve">GOP</t>
  </si>
  <si>
    <t xml:space="preserve">①a</t>
  </si>
  <si>
    <t xml:space="preserve">①</t>
  </si>
  <si>
    <t xml:space="preserve">mHCE</t>
  </si>
  <si>
    <t xml:space="preserve">x̃_i = RMSNorm(vec(X_i)) — (4,4096)→(1,16384)</t>
  </si>
  <si>
    <t xml:space="preserve">X_l (11,4,4096) BF16</t>
  </si>
  <si>
    <t xml:space="preserve">RAB</t>
  </si>
  <si>
    <t xml:space="preserve">x̃ (11,16384) FP8</t>
  </si>
  <si>
    <t xml:space="preserve">REG</t>
  </si>
  <si>
    <t xml:space="preserve">①b</t>
  </si>
  <si>
    <t xml:space="preserve">~A,~B,~C = x̃_i·W_φ — (1,4)(4,4)(4,1)</t>
  </si>
  <si>
    <t xml:space="preserve">x̃</t>
  </si>
  <si>
    <t xml:space="preserve">W_φ (16384×24) FP8</t>
  </si>
  <si>
    <t xml:space="preserve">~A,~B,~C FP32</t>
  </si>
  <si>
    <t xml:space="preserve">①c</t>
  </si>
  <si>
    <t xml:space="preserve">Sinkhorn(~B)→B (20 vòng) · σ(~A)→A · σ(~C)→C</t>
  </si>
  <si>
    <t xml:space="preserve">~A,~B,~C</t>
  </si>
  <si>
    <t xml:space="preserve">A,B,C (dùng lại ⑦)</t>
  </si>
  <si>
    <t xml:space="preserve">①d</t>
  </si>
  <si>
    <t xml:space="preserve">x̂_i = A_l·X_i → X̂ (11,4096)</t>
  </si>
  <si>
    <t xml:space="preserve">A (REG) + X_l (đã nạp ①a)</t>
  </si>
  <si>
    <t xml:space="preserve">X̂ (11,4096) FP8</t>
  </si>
  <si>
    <t xml:space="preserve">②a</t>
  </si>
  <si>
    <t xml:space="preserve">②</t>
  </si>
  <si>
    <t xml:space="preserve">ACU</t>
  </si>
  <si>
    <t xml:space="preserve">C = X̂·W_KV (2 nhánh a‖b)</t>
  </si>
  <si>
    <t xml:space="preserve">X̂</t>
  </si>
  <si>
    <t xml:space="preserve">W_KV a‖b 2×(4096,512) FP8</t>
  </si>
  <si>
    <t xml:space="preserve">C (11,512)×2 FP8</t>
  </si>
  <si>
    <t xml:space="preserve">PSA</t>
  </si>
  <si>
    <t xml:space="preserve">②b</t>
  </si>
  <si>
    <t xml:space="preserve">Z = X̂·W_Z (2 nhánh a‖b)</t>
  </si>
  <si>
    <t xml:space="preserve">W_Z a‖b 2×(4096,512) FP8</t>
  </si>
  <si>
    <t xml:space="preserve">Z (11,512)×2 FP8</t>
  </si>
  <si>
    <t xml:space="preserve">②c</t>
  </si>
  <si>
    <t xml:space="preserve">S = Softmax_row(Z_khối m=4 + B)</t>
  </si>
  <si>
    <t xml:space="preserve">Z</t>
  </si>
  <si>
    <t xml:space="preserve">B bias (m,512)×2 FP16</t>
  </si>
  <si>
    <t xml:space="preserve">S (11,512)×2 FP16</t>
  </si>
  <si>
    <t xml:space="preserve">②d</t>
  </si>
  <si>
    <t xml:space="preserve">C^Comp = Σ_m S⊙C (a+b) + SW 11 token (norm-at-write)</t>
  </si>
  <si>
    <t xml:space="preserve">C · S</t>
  </si>
  <si>
    <t xml:space="preserve">C^Comp (3,512)+SW (11,512) FP8</t>
  </si>
  <si>
    <t xml:space="preserve">KVB</t>
  </si>
  <si>
    <t xml:space="preserve">④a</t>
  </si>
  <si>
    <t xml:space="preserve">④</t>
  </si>
  <si>
    <t xml:space="preserve">LIU</t>
  </si>
  <si>
    <t xml:space="preserve">K^I = X̂·W_KV,idx, nén m=4 (a+b) (norm-at-write)</t>
  </si>
  <si>
    <t xml:space="preserve">W_KV,idx 2×(4096,128) FP4</t>
  </si>
  <si>
    <t xml:space="preserve">K^IComp (3,128) BF16</t>
  </si>
  <si>
    <t xml:space="preserve">③a</t>
  </si>
  <si>
    <t xml:space="preserve">③</t>
  </si>
  <si>
    <t xml:space="preserve">c_Q = RMSNorm(X̂·W_DQ) — (11,1024)</t>
  </si>
  <si>
    <t xml:space="preserve">W_DQ (4096,1024) FP8</t>
  </si>
  <si>
    <t xml:space="preserve">c_Q (11,1024) FP8</t>
  </si>
  <si>
    <t xml:space="preserve">③b</t>
  </si>
  <si>
    <t xml:space="preserve">QCAU</t>
  </si>
  <si>
    <t xml:space="preserve">q_raw = c_Q·W_UQ — (11,32768)</t>
  </si>
  <si>
    <t xml:space="preserve">c_Q</t>
  </si>
  <si>
    <t xml:space="preserve">W_UQ (1024,32768) FP8</t>
  </si>
  <si>
    <t xml:space="preserve">q_raw (11,32768) FP8</t>
  </si>
  <si>
    <t xml:space="preserve">③c</t>
  </si>
  <si>
    <t xml:space="preserve">q = RoPE₆₄(RMSNorm(reshape(11,64,512)))</t>
  </si>
  <si>
    <t xml:space="preserve">q_raw</t>
  </si>
  <si>
    <t xml:space="preserve">q (11,64,512) BF16</t>
  </si>
  <si>
    <t xml:space="preserve">④b</t>
  </si>
  <si>
    <t xml:space="preserve">q_I = c_Q·W_UQ,idx → reshape → ×H(128,128)</t>
  </si>
  <si>
    <t xml:space="preserve">W_UQ,idx (1024,8192) FP4 + H</t>
  </si>
  <si>
    <t xml:space="preserve">q_I′ (11,64,128) FP8</t>
  </si>
  <si>
    <t xml:space="preserve">④c</t>
  </si>
  <si>
    <t xml:space="preserve">w_h = a(X̂·W_w) — (11,64)</t>
  </si>
  <si>
    <t xml:space="preserve">W_w (4096,64) FP8</t>
  </si>
  <si>
    <t xml:space="preserve">w_h (11,64) FP16</t>
  </si>
  <si>
    <t xml:space="preserve">④d</t>
  </si>
  <si>
    <t xml:space="preserve">raw_score = q_I′·K^{I,T} → ReLU — (11,64,3)</t>
  </si>
  <si>
    <t xml:space="preserve">q_I′</t>
  </si>
  <si>
    <t xml:space="preserve">raw_score′ (11,64,3) FP16</t>
  </si>
  <si>
    <t xml:space="preserve">④e</t>
  </si>
  <si>
    <t xml:space="preserve">score = Σ_h w_h ⊙ raw_score′ — (11,3)</t>
  </si>
  <si>
    <t xml:space="preserve">raw_score′ · w_h</t>
  </si>
  <si>
    <t xml:space="preserve">score (11,3) FP16</t>
  </si>
  <si>
    <t xml:space="preserve">④f</t>
  </si>
  <si>
    <t xml:space="preserve">top-k → idx_top · descriptor → mSGDMA-KV</t>
  </si>
  <si>
    <t xml:space="preserve">score</t>
  </si>
  <si>
    <t xml:space="preserve">idx_top (11,k) INT32 + desc 256b</t>
  </si>
  <si>
    <t xml:space="preserve">DMA</t>
  </si>
  <si>
    <t xml:space="preserve">④g</t>
  </si>
  <si>
    <t xml:space="preserve">mSGDMA-KV</t>
  </si>
  <si>
    <t xml:space="preserve">gather kv_topk theo idx_top: DDR4 → KVB</t>
  </si>
  <si>
    <t xml:space="preserve">idx_top</t>
  </si>
  <si>
    <t xml:space="preserve">DDR4</t>
  </si>
  <si>
    <t xml:space="preserve">kv_topk (k entry × 576 B)</t>
  </si>
  <si>
    <t xml:space="preserve">⑤a</t>
  </si>
  <si>
    <t xml:space="preserve">⑤</t>
  </si>
  <si>
    <t xml:space="preserve">K_e = RoPE₆₄(entry) — kv_topk + SW = 14 entry</t>
  </si>
  <si>
    <t xml:space="preserve">kv_topk+SW</t>
  </si>
  <si>
    <t xml:space="preserve">K,V entry (14,512)</t>
  </si>
  <si>
    <t xml:space="preserve">⑤b</t>
  </si>
  <si>
    <t xml:space="preserve">score_tile = α·q·K_tileᵀ (KV_tile=64, α≈0,01105)</t>
  </si>
  <si>
    <t xml:space="preserve">q · K</t>
  </si>
  <si>
    <t xml:space="preserve">score_tile (11,64,14) FP16</t>
  </si>
  <si>
    <t xml:space="preserve">⑤c</t>
  </si>
  <si>
    <t xml:space="preserve">m_run = max · ℓ += Σe^{s−m} + e^{sink−m}</t>
  </si>
  <si>
    <t xml:space="preserve">score_tile</t>
  </si>
  <si>
    <t xml:space="preserve">sink (64,) FP32</t>
  </si>
  <si>
    <t xml:space="preserve">m_run, ℓ (11,64) FP32</t>
  </si>
  <si>
    <t xml:space="preserve">⑤d</t>
  </si>
  <si>
    <t xml:space="preserve">acc_V += e^{s−m}·V — lặp 'Repeat?' hết entry</t>
  </si>
  <si>
    <t xml:space="preserve">score_tile · V</t>
  </si>
  <si>
    <t xml:space="preserve">acc_V (11,64,512) FP32</t>
  </si>
  <si>
    <t xml:space="preserve">⑤e</t>
  </si>
  <si>
    <t xml:space="preserve">out = acc_V/ℓ → RoPE⁻¹ → reshape (11,32768)</t>
  </si>
  <si>
    <t xml:space="preserve">acc_V, ℓ</t>
  </si>
  <si>
    <t xml:space="preserve">o (11,32768) BF16</t>
  </si>
  <si>
    <t xml:space="preserve">⑥a</t>
  </si>
  <si>
    <t xml:space="preserve">⑥</t>
  </si>
  <si>
    <t xml:space="preserve">GOPU</t>
  </si>
  <si>
    <t xml:space="preserve">o_g′ = o_g·W_OG_g — 8 nhóm (4096→1024)</t>
  </si>
  <si>
    <t xml:space="preserve">o</t>
  </si>
  <si>
    <t xml:space="preserve">W_OG ×8 (4096,1024) FP8</t>
  </si>
  <si>
    <t xml:space="preserve">o^G (11,8192) FP8</t>
  </si>
  <si>
    <t xml:space="preserve">⑥b</t>
  </si>
  <si>
    <t xml:space="preserve">out_attn = o^G·W_O — (8192→4096)</t>
  </si>
  <si>
    <t xml:space="preserve">o^G</t>
  </si>
  <si>
    <t xml:space="preserve">W_O (8192,4096) FP8</t>
  </si>
  <si>
    <t xml:space="preserve">out_attn (11,1,4096) BF16</t>
  </si>
  <si>
    <t xml:space="preserve">⑦</t>
  </si>
  <si>
    <t xml:space="preserve">X′_i = B_l·X_i + C_l·out_attn_i</t>
  </si>
  <si>
    <t xml:space="preserve">X_l · out_attn</t>
  </si>
  <si>
    <t xml:space="preserve">X′ (11,4,4096) BF16</t>
  </si>
  <si>
    <t xml:space="preserve">⑧a</t>
  </si>
  <si>
    <t xml:space="preserve">⑧</t>
  </si>
  <si>
    <t xml:space="preserve">x̃′ → ~A′,~B′,~C′ → Sinkhorn → A′,B′,C′</t>
  </si>
  <si>
    <t xml:space="preserve">X′</t>
  </si>
  <si>
    <t xml:space="preserve">W′_φ FP8</t>
  </si>
  <si>
    <t xml:space="preserve">A′,B′,C′ (dùng lại ⑩)</t>
  </si>
  <si>
    <t xml:space="preserve">⑧b</t>
  </si>
  <si>
    <t xml:space="preserve">x̂′_i = A′_l·X′_i → x̂′ (11,4096)</t>
  </si>
  <si>
    <t xml:space="preserve">A′ (REG)</t>
  </si>
  <si>
    <t xml:space="preserve">x̂′ (11,4096) FP8</t>
  </si>
  <si>
    <t xml:space="preserve">⑨r</t>
  </si>
  <si>
    <t xml:space="preserve">⑨</t>
  </si>
  <si>
    <t xml:space="preserve">MRU</t>
  </si>
  <si>
    <t xml:space="preserve">S_t = hash(TokenID mod 64) → 6/384 routed + gate</t>
  </si>
  <si>
    <t xml:space="preserve">TokenID (11,)</t>
  </si>
  <si>
    <t xml:space="preserve">S (11,6) + gate FP16</t>
  </si>
  <si>
    <t xml:space="preserve">⑨a</t>
  </si>
  <si>
    <t xml:space="preserve">ECA</t>
  </si>
  <si>
    <t xml:space="preserve">x_gate = x̂′·W_G — vòng (6+1) expert</t>
  </si>
  <si>
    <t xml:space="preserve">x̂′ ×7 lượt</t>
  </si>
  <si>
    <t xml:space="preserve">W_G ×7 (4096,2048) FP4</t>
  </si>
  <si>
    <t xml:space="preserve">x_gate (11,2048)×7 FP16</t>
  </si>
  <si>
    <t xml:space="preserve">⑨b</t>
  </si>
  <si>
    <t xml:space="preserve">x_up = x̂′·W_V — vòng (6+1) expert</t>
  </si>
  <si>
    <t xml:space="preserve">W_V ×7 (4096,2048) FP4</t>
  </si>
  <si>
    <t xml:space="preserve">x_up (11,2048)×7 FP16</t>
  </si>
  <si>
    <t xml:space="preserve">⑨c</t>
  </si>
  <si>
    <t xml:space="preserve">h = Swish(x_gate) ⊙ x_up — vector unit</t>
  </si>
  <si>
    <t xml:space="preserve">x_gate · x_up</t>
  </si>
  <si>
    <t xml:space="preserve">h (11,2048)×7 FP16</t>
  </si>
  <si>
    <t xml:space="preserve">⑨d</t>
  </si>
  <si>
    <t xml:space="preserve">y_e = h·W_down — vòng (6+1) expert</t>
  </si>
  <si>
    <t xml:space="preserve">h ×7</t>
  </si>
  <si>
    <t xml:space="preserve">W_down ×7 (2048,4096) FP4</t>
  </si>
  <si>
    <t xml:space="preserve">y_e (11,4096)×7 BF16</t>
  </si>
  <si>
    <t xml:space="preserve">⑨e</t>
  </si>
  <si>
    <t xml:space="preserve">out_moe = Σ_e gate_e·y_e + x_SharedExpert</t>
  </si>
  <si>
    <t xml:space="preserve">y_e · S,gate</t>
  </si>
  <si>
    <t xml:space="preserve">out_moe (11,4096) BF16</t>
  </si>
  <si>
    <t xml:space="preserve">⑩</t>
  </si>
  <si>
    <t xml:space="preserve">X_{l+1,i} = B′_l·X′_i + C′_l·out_moe_i</t>
  </si>
  <si>
    <t xml:space="preserve">X′ · out_moe</t>
  </si>
  <si>
    <t xml:space="preserve">X_{l+1} (11,4,4096) BF16</t>
  </si>
  <si>
    <t xml:space="preserve">—</t>
  </si>
  <si>
    <t xml:space="preserve">W</t>
  </si>
  <si>
    <t xml:space="preserve">mSGDMA-WT</t>
  </si>
  <si>
    <t xml:space="preserve">Stream toàn bộ weight layer: DDR4 → WTB (EWD prefetch +1 op)</t>
  </si>
  <si>
    <t xml:space="preserve">Σ weight layer (=SUM cột L)</t>
  </si>
  <si>
    <t xml:space="preserve">→ WTB (tile 4 MB ping-pong)</t>
  </si>
  <si>
    <t xml:space="preserve">WTB</t>
  </si>
  <si>
    <t xml:space="preserve">Bytes theo dtype file nguồn (BF16=2B, FP8=1B, FP4=0,5B, FP32=4B). GOP = 2·M·N·K cho GEMM (đã gồm số nhánh/nhóm/expert). Ô xanh = giá trị dẫn xuất từ dataflow thực thể — nguồn: deepseek-dataflow.xml.</t>
  </si>
  <si>
    <t xml:space="preserve">Các phép toán thực hiện (cụm · thực thể)</t>
  </si>
  <si>
    <t xml:space="preserve">MAC (DSP)</t>
  </si>
  <si>
    <t xml:space="preserve">Peak GOPS</t>
  </si>
  <si>
    <t xml:space="preserve">GOP /layer</t>
  </si>
  <si>
    <t xml:space="preserve">Bytes weight /layer</t>
  </si>
  <si>
    <t xml:space="preserve">Bytes act vào /layer</t>
  </si>
  <si>
    <t xml:space="preserve">Bytes ra /layer</t>
  </si>
  <si>
    <t xml:space="preserve">Tổng bytes /layer</t>
  </si>
  <si>
    <t xml:space="preserve">AI (FLOP/B)</t>
  </si>
  <si>
    <t xml:space="preserve">Ridge DDR (FLOP/B)</t>
  </si>
  <si>
    <t xml:space="preserve">Cửa sổ (ms)</t>
  </si>
  <si>
    <t xml:space="preserve">Kết luận</t>
  </si>
  <si>
    <t xml:space="preserve">Interface sử dụng</t>
  </si>
  <si>
    <t xml:space="preserve">① vec+RMSNorm · sinh ~A~B~C · Sinkhorn · trộn A·X — ⑦ mix attn — ⑧ post-mHC — ⑩ mix MoE</t>
  </si>
  <si>
    <t xml:space="preserve">RAB (R/W activation) · WTB (W_φ) · REG (A,B,C)</t>
  </si>
  <si>
    <t xml:space="preserve">②a C=X̂·W_KV · ②b Z=X̂·W_Z · ②c Softmax m=4 · ②d nén ΣS⊙C + SW → KVB</t>
  </si>
  <si>
    <t xml:space="preserve">RAB (R X̂) · WTB (W_KV,W_Z) · PSA (C,Z,S) · KVB (W C^Comp+SW)</t>
  </si>
  <si>
    <t xml:space="preserve">③a c_Q — ④a K^I · ④b q_I·H · ④c w_h · ④d raw_score+ReLU · ④e Σw_h⊙ · ④f top-k+desc</t>
  </si>
  <si>
    <t xml:space="preserve">RAB (R X̂,c_Q · W c_Q) · WTB · KVB (R/W K^I) · PSA (idx, scratch) · desc→DMA</t>
  </si>
  <si>
    <t xml:space="preserve">③b q_raw=c_Q·W_UQ · ③c RMSNorm+RoPE — ⑤a norm entry · ⑤b QK · ⑤c max/ℓ · ⑤d acc_V · ⑤e chia+RoPE⁻¹</t>
  </si>
  <si>
    <t xml:space="preserve">RAB (R c_Q,q · W q,o) · WTB (W_UQ) · KVB (R kv_topk+SW) · PSA (score, acc_V)</t>
  </si>
  <si>
    <t xml:space="preserve">⑥a 8 nhóm o_g·W_OG · ⑥b out_attn=o^G·W_O</t>
  </si>
  <si>
    <t xml:space="preserve">RAB (R o · W out_attn) · WTB (W_OG,W_O) · PSA (o^G)</t>
  </si>
  <si>
    <t xml:space="preserve">⑨r hash router TokenID mod 64 → S + gate</t>
  </si>
  <si>
    <t xml:space="preserve">REG (TokenID) · PSA (W S+gate)</t>
  </si>
  <si>
    <t xml:space="preserve">⑨a x_gate · ⑨b x_up · ⑨c Swish⊙ · ⑨d W_down · ⑨e Σgate·y+shared — vòng (6+1) expert</t>
  </si>
  <si>
    <t xml:space="preserve">RAB (R x̂′,h · W h,out_moe) · WTB (expert FP4) · PSA (x_gate,x_up,y_e,gate)</t>
  </si>
  <si>
    <t xml:space="preserve">TỔNG</t>
  </si>
  <si>
    <t xml:space="preserve">≈ chu kỳ layer nếu chạy tuần tự; chồng lấn pipeline rút ngắn thêm</t>
  </si>
  <si>
    <t xml:space="preserve">Peak GOPS = DSP × ops/DSP/cyc × clock (Methodology). Cửa sổ = MAX(weight/BW DDR, GOP/Peak). AI = GOP ÷ tổng bytes. Kết luận so AI với Ridge DDR (chỉ áp dụng khi có weight stream; FU không chạm DDR ghi 'RAB-bound').</t>
  </si>
  <si>
    <t xml:space="preserve">Interface</t>
  </si>
  <si>
    <t xml:space="preserve">Master</t>
  </si>
  <si>
    <t xml:space="preserve">Slave</t>
  </si>
  <si>
    <t xml:space="preserve">Chiều</t>
  </si>
  <si>
    <t xml:space="preserve">Biến truyền (từ Ops_Detail)</t>
  </si>
  <si>
    <t xml:space="preserve">Bytes /layer</t>
  </si>
  <si>
    <t xml:space="preserve">BW yêu cầu (GB/s)</t>
  </si>
  <si>
    <t xml:space="preserve">Port đề xuất</t>
  </si>
  <si>
    <t xml:space="preserve">Port BW (GB/s)</t>
  </si>
  <si>
    <t xml:space="preserve">Util</t>
  </si>
  <si>
    <t xml:space="preserve">Ghi chú</t>
  </si>
  <si>
    <t xml:space="preserve">RA-mHCE-R</t>
  </si>
  <si>
    <t xml:space="preserve">đọc</t>
  </si>
  <si>
    <t xml:space="preserve">X_l · out_attn · X′ · out_moe</t>
  </si>
  <si>
    <t xml:space="preserve">AXI4-Stream 1152b @600 MHz</t>
  </si>
  <si>
    <t xml:space="preserve">Đọc residual 4 dòng, 2 lượt mix cần X + out cùng lúc → 2 luồng xen kẽ trên 1 port</t>
  </si>
  <si>
    <t xml:space="preserve">RA-mHCE-W</t>
  </si>
  <si>
    <t xml:space="preserve">ghi</t>
  </si>
  <si>
    <t xml:space="preserve">X̂ · X′ · x̂′ · X_{l+1}</t>
  </si>
  <si>
    <t xml:space="preserve">WT-mHCE</t>
  </si>
  <si>
    <t xml:space="preserve">W_φ · W′_φ</t>
  </si>
  <si>
    <t xml:space="preserve">AXI4-Stream 2304b @600 MHz</t>
  </si>
  <si>
    <t xml:space="preserve">Weight nhỏ — dùng chung WT-bus</t>
  </si>
  <si>
    <t xml:space="preserve">RA-ACU-R</t>
  </si>
  <si>
    <t xml:space="preserve">X̂ (2 lượt: C, Z)</t>
  </si>
  <si>
    <t xml:space="preserve">WT-ACU</t>
  </si>
  <si>
    <t xml:space="preserve">W_KV · W_Z (a‖b) + B bias</t>
  </si>
  <si>
    <t xml:space="preserve">Tile 4 MB double-buffer</t>
  </si>
  <si>
    <t xml:space="preserve">PS-ACU</t>
  </si>
  <si>
    <t xml:space="preserve">ghi+đọc</t>
  </si>
  <si>
    <t xml:space="preserve">C, Z, S (trung gian nén)</t>
  </si>
  <si>
    <t xml:space="preserve">BRAM local 1152b</t>
  </si>
  <si>
    <t xml:space="preserve">Scratch cục bộ trong ACU — không ra bus chung</t>
  </si>
  <si>
    <t xml:space="preserve">KV-ACU-W</t>
  </si>
  <si>
    <t xml:space="preserve">C^Comp (3,512) FP8 + SW (11,512) — norm-at-write</t>
  </si>
  <si>
    <t xml:space="preserve">AXI4-Stream 2304b @600 MHz (port B)</t>
  </si>
  <si>
    <t xml:space="preserve">Song song append DDR qua mSGDMA-KV</t>
  </si>
  <si>
    <t xml:space="preserve">RA-LIU-R</t>
  </si>
  <si>
    <t xml:space="preserve">X̂ (K^I, w_h) · c_Q (q_I)</t>
  </si>
  <si>
    <t xml:space="preserve">RA-LIU-W</t>
  </si>
  <si>
    <t xml:space="preserve">c_Q dùng chung cho QCAU + indexer</t>
  </si>
  <si>
    <t xml:space="preserve">WT-LIU</t>
  </si>
  <si>
    <t xml:space="preserve">W_DQ · W_KV,idx · W_UQ,idx+H · W_w</t>
  </si>
  <si>
    <t xml:space="preserve">Hệ FP4 dequant inline</t>
  </si>
  <si>
    <t xml:space="preserve">KV-LIU-W</t>
  </si>
  <si>
    <t xml:space="preserve">KV-bus port B</t>
  </si>
  <si>
    <t xml:space="preserve">KV-LIU-R</t>
  </si>
  <si>
    <t xml:space="preserve">K^IComp lịch sử (④d)</t>
  </si>
  <si>
    <t xml:space="preserve">KV-bus port A</t>
  </si>
  <si>
    <t xml:space="preserve">PS-LIU</t>
  </si>
  <si>
    <t xml:space="preserve">q_I′ · w_h · raw_score′ · score · idx_top</t>
  </si>
  <si>
    <t xml:space="preserve">DESC-LIU</t>
  </si>
  <si>
    <t xml:space="preserve">descriptor fetch KV 256b/desc</t>
  </si>
  <si>
    <t xml:space="preserve">AXI4-Stream 256b @300 MHz</t>
  </si>
  <si>
    <t xml:space="preserve">Điều khiển, không phải dữ liệu</t>
  </si>
  <si>
    <t xml:space="preserve">RA-QCAU-R</t>
  </si>
  <si>
    <t xml:space="preserve">c_Q (③b) · q (⑤b)</t>
  </si>
  <si>
    <t xml:space="preserve">RA-QCAU-W</t>
  </si>
  <si>
    <t xml:space="preserve">q (③c) · o (⑤e)</t>
  </si>
  <si>
    <t xml:space="preserve">WT-QCAU</t>
  </si>
  <si>
    <t xml:space="preserve">W_UQ 33,6 MB — lớn nhất nhánh attention</t>
  </si>
  <si>
    <t xml:space="preserve">KV-QCAU</t>
  </si>
  <si>
    <t xml:space="preserve">kv_topk + SW (⑤a,⑤b,⑤d) — entry dùng lại 64 head (MQA)</t>
  </si>
  <si>
    <t xml:space="preserve">KV-bus port A 2304b @600 MHz</t>
  </si>
  <si>
    <t xml:space="preserve">Băng thông thấp ở B=1; quyết định ở batch lớn/ctx dài</t>
  </si>
  <si>
    <t xml:space="preserve">PS-QCAU</t>
  </si>
  <si>
    <t xml:space="preserve">q_raw · score_tile · m_run,ℓ · acc_V FP32 1,44 MB</t>
  </si>
  <si>
    <t xml:space="preserve">BRAM local (partial-sum)</t>
  </si>
  <si>
    <t xml:space="preserve">acc_V giữ trong PSA suốt vòng tile — reset mỗi query</t>
  </si>
  <si>
    <t xml:space="preserve">RA-GOPU-R</t>
  </si>
  <si>
    <t xml:space="preserve">RA-GOPU-W</t>
  </si>
  <si>
    <t xml:space="preserve">WT-GOPU</t>
  </si>
  <si>
    <t xml:space="preserve">W_OG ×8 + W_O = 67,1 MB</t>
  </si>
  <si>
    <t xml:space="preserve">PS-GOPU</t>
  </si>
  <si>
    <t xml:space="preserve">o^G (11,8192)</t>
  </si>
  <si>
    <t xml:space="preserve">BRAM local</t>
  </si>
  <si>
    <t xml:space="preserve">PS-MRU</t>
  </si>
  <si>
    <t xml:space="preserve">S (11,6) + gate</t>
  </si>
  <si>
    <t xml:space="preserve">AXI4-Lite/Stream 128b</t>
  </si>
  <si>
    <t xml:space="preserve">Điều khiển routing — Ctrl gom token expert-major</t>
  </si>
  <si>
    <t xml:space="preserve">RA-ECA-R</t>
  </si>
  <si>
    <t xml:space="preserve">x̂′ ×(6+1) lượt · h</t>
  </si>
  <si>
    <t xml:space="preserve">AXI4-Stream 1152b @600 MHz ×4 SLR</t>
  </si>
  <si>
    <t xml:space="preserve">Broadcast 4 sub-array</t>
  </si>
  <si>
    <t xml:space="preserve">RA-ECA-W</t>
  </si>
  <si>
    <t xml:space="preserve">h · out_moe</t>
  </si>
  <si>
    <t xml:space="preserve">WT-ECA</t>
  </si>
  <si>
    <t xml:space="preserve">W_G·W_V·W_down ×(6+1) expert FP4 = 88,2 MB</t>
  </si>
  <si>
    <t xml:space="preserve">AXI4-Stream 2304b @600 MHz ×4 SLR</t>
  </si>
  <si>
    <t xml:space="preserve">Dequant FP4→INT8 inline; đường găng là DDR chứ không phải bus</t>
  </si>
  <si>
    <t xml:space="preserve">PS-ECA</t>
  </si>
  <si>
    <t xml:space="preserve">x_gate · x_up · y_e · S,gate</t>
  </si>
  <si>
    <t xml:space="preserve">DDR-WTB</t>
  </si>
  <si>
    <t xml:space="preserve">toàn bộ weight layer (EWD prefetch +1 op)</t>
  </si>
  <si>
    <t xml:space="preserve">m_axi 512b @300 MHz ×4 kênh (MIG)</t>
  </si>
  <si>
    <t xml:space="preserve">Chạy liên tục cả layer — ĐƯỜNG GĂNG</t>
  </si>
  <si>
    <t xml:space="preserve">KV-DDR-W</t>
  </si>
  <si>
    <t xml:space="preserve">append C^Comp + K^IComp</t>
  </si>
  <si>
    <t xml:space="preserve">m_axi 512b @300 MHz (kênh KV)</t>
  </si>
  <si>
    <t xml:space="preserve">2,3 KB/layer — không đáng kể</t>
  </si>
  <si>
    <t xml:space="preserve">DDR-KVB</t>
  </si>
  <si>
    <t xml:space="preserve">gather kv_topk theo descriptor (mSGDMA-KV)</t>
  </si>
  <si>
    <t xml:space="preserve">m_axi 512b @300 MHz scatter-gather</t>
  </si>
  <si>
    <t xml:space="preserve">Rời rạc — độ trễ quan trọng hơn băng thông</t>
  </si>
  <si>
    <t xml:space="preserve">BW yêu cầu = Bytes/layer ÷ cửa sổ FU (trung bình trong cửa sổ — đỉnh tức thời cao hơn, xem waveform). Util = BW yêu cầu ÷ BW port. Cửa sổ ô xanh = gán tay (DMA chạy suốt layer ≈ 3,4 ms).</t>
  </si>
  <si>
    <t xml:space="preserve">Buffer</t>
  </si>
  <si>
    <t xml:space="preserve">Công nghệ · dung lượng đề xuất</t>
  </si>
  <si>
    <t xml:space="preserve">FU ghi (writers)</t>
  </si>
  <si>
    <t xml:space="preserve">FU đọc (readers)</t>
  </si>
  <si>
    <t xml:space="preserve">Bytes ghi /layer</t>
  </si>
  <si>
    <t xml:space="preserve">Bytes đọc /layer</t>
  </si>
  <si>
    <t xml:space="preserve">Số port cần (từ waveform)</t>
  </si>
  <si>
    <t xml:space="preserve">Đề xuất interface &amp; tổ chức bank</t>
  </si>
  <si>
    <t xml:space="preserve">URAM · ≥2,5 MB (X 360 KB ×2 slot + q 721 + o 721 + act nhỏ)</t>
  </si>
  <si>
    <t xml:space="preserve">mHCE · LIU (c_Q) · QCAU (q,o) · GOPU (out_attn) · ECA (h,out_moe)</t>
  </si>
  <si>
    <t xml:space="preserve">mHCE · ACU · LIU · QCAU · GOPU · ECA</t>
  </si>
  <si>
    <t xml:space="preserve">2R + 1W đồng thời (ví dụ T05: ACU+LIU cùng đọc X̂; QCAU ghi q khi LIU đọc c_Q)</t>
  </si>
  <si>
    <t xml:space="preserve">64 bank width-slice, port A đọc 4.608b beat, port B ghi 1152b; AGU broadcast 1 địa chỉ → 64 bank; arbiter round-robin cho 6 master</t>
  </si>
  <si>
    <t xml:space="preserve">BRAM/URAM · 8 MB (2 × tile 4 MB ping-pong)</t>
  </si>
  <si>
    <t xml:space="preserve">mSGDMA-WT (DDR4)</t>
  </si>
  <si>
    <t xml:space="preserve">1W (DMA ghi bank B) + 1R (FU đọc bank A) — ping-pong</t>
  </si>
  <si>
    <t xml:space="preserve">WT-bus 2304b @600 MHz/SLR; dequant FP4→INT8 LUT inline sau port đọc; load tile 4 MB = 61 µs ≈ compute tile → FU không chờ</t>
  </si>
  <si>
    <t xml:space="preserve">URAM · ~1 MB (KV nóng: top-k + SW + entry mới; phần bền vững ở DDR4)</t>
  </si>
  <si>
    <t xml:space="preserve">ACU (C^Comp+SW) · LIU (K^IComp) · mSGDMA-KV (kv_topk)</t>
  </si>
  <si>
    <t xml:space="preserve">LIU (K^I lịch sử) · QCAU (kv_topk+SW)</t>
  </si>
  <si>
    <t xml:space="preserve">port A: cấp K,V cho QCAU/LIU · port B: ACU/LIU ghi + DMA nạp — 2 port độc lập</t>
  </si>
  <si>
    <t xml:space="preserve">KV-bus 2304b @600 MHz; norm-at-write (entry đã RMSNorm khi ghi); entry 576 B thẳng hàng; append DDR qua mSGDMA-KV 19,2 GB/s</t>
  </si>
  <si>
    <t xml:space="preserve">BRAM · ~3 MB (acc_V FP32 1,44 MB + y_e 0,63 + x_gate/x_up 0,63 + score/idx)</t>
  </si>
  <si>
    <t xml:space="preserve">ACU (C,Z,S) · LIU (q_I′,w_h,score,idx) · QCAU (q_raw,score_tile,m,ℓ,acc_V) · MRU (S,gate) · GOPU (o^G) · ECA (x_gate,x_up,y_e)</t>
  </si>
  <si>
    <t xml:space="preserve">ACU · LIU · QCAU · GOPU · ECA</t>
  </si>
  <si>
    <t xml:space="preserve">cục bộ theo FU (mỗi FU 1 phân vùng riêng) + 2 đường chéo: MRU→ECA (gate), ACU→LIU (S nếu dùng chung lưới m=4)</t>
  </si>
  <si>
    <t xml:space="preserve">Phân vùng tĩnh theo FU tránh arbiter; chỉ gate/route đi PS-bus 1152b; acc_V dải FP32 4.608b nội bộ QCAU</t>
  </si>
  <si>
    <t xml:space="preserve">4 kênh ×16 GB = 64 GB (weight 16 layer + KV cache + embed)</t>
  </si>
  <si>
    <t xml:space="preserve">mSGDMA-KV (append C^Comp, K^I)</t>
  </si>
  <si>
    <t xml:space="preserve">mSGDMA-WT (weight) · mSGDMA-KV (gather)</t>
  </si>
  <si>
    <t xml:space="preserve">4 × m_axi 512b @300 MHz (MIG) — stripe tile 1 MB/kênh</t>
  </si>
  <si>
    <t xml:space="preserve">65,3 GB/s hiệu dụng; kênh dành riêng KV 19,2 GB/s; EWD descriptor prefetch weight op kế; ĐƯỜNG GĂNG chu kỳ layer = Σweight ÷ 65,3 GB/s</t>
  </si>
  <si>
    <t xml:space="preserve">Register file trong FU (không ra bus)</t>
  </si>
  <si>
    <t xml:space="preserve">mHCE (A,B,C · A′,B′,C′) · MRU (TokenID)</t>
  </si>
  <si>
    <t xml:space="preserve">mHCE (mix ⑦/⑩)</t>
  </si>
  <si>
    <t xml:space="preserve">"—"</t>
  </si>
  <si>
    <t xml:space="preserve">Hệ số mHC (1,4)(4,4)(4,1) FP32 = 96 B/bộ sống trong mHCE từ ①→⑦ và ⑧→⑩ — KHÔNG được ghi đè giữa chừng (2 bộ riêng)</t>
  </si>
  <si>
    <t xml:space="preserve">Bytes ghi/đọc lấy trực tiếp từ Ops_Detail (SUMIFS theo cột buffer); riêng WTB/DDR4 lấy từ Interfaces. Dung lượng đề xuất (ô xanh) = tổng tồn trú lớn nhất cùng thời điểm, suy từ waveform thực thể.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</si>
</sst>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0"/>
    <numFmt numFmtId="167" formatCode="0.000"/>
    <numFmt numFmtId="168" formatCode="0.0"/>
    <numFmt numFmtId="169" formatCode="0.00"/>
    <numFmt numFmtId="170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34155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/>
      <c r="C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  <c r="C4" s="3" t="s">
        <v>5</v>
      </c>
    </row>
    <row r="5" customFormat="false" ht="15" hidden="false" customHeight="false" outlineLevel="0" collapsed="false">
      <c r="A5" s="2" t="s">
        <v>6</v>
      </c>
      <c r="B5" s="4" t="n">
        <v>0.6</v>
      </c>
      <c r="C5" s="3" t="s">
        <v>7</v>
      </c>
    </row>
    <row r="6" customFormat="false" ht="15" hidden="false" customHeight="false" outlineLevel="0" collapsed="false">
      <c r="A6" s="2" t="s">
        <v>8</v>
      </c>
      <c r="B6" s="4" t="n">
        <v>4</v>
      </c>
      <c r="C6" s="3" t="s">
        <v>9</v>
      </c>
    </row>
    <row r="7" customFormat="false" ht="15" hidden="false" customHeight="false" outlineLevel="0" collapsed="false">
      <c r="A7" s="2" t="s">
        <v>10</v>
      </c>
      <c r="B7" s="4" t="n">
        <v>65.3</v>
      </c>
      <c r="C7" s="3" t="s">
        <v>11</v>
      </c>
    </row>
    <row r="8" customFormat="false" ht="15" hidden="false" customHeight="false" outlineLevel="0" collapsed="false">
      <c r="A8" s="2" t="s">
        <v>12</v>
      </c>
      <c r="B8" s="4" t="n">
        <v>86.4</v>
      </c>
      <c r="C8" s="3" t="s">
        <v>13</v>
      </c>
    </row>
    <row r="9" customFormat="false" ht="15" hidden="false" customHeight="false" outlineLevel="0" collapsed="false">
      <c r="A9" s="2" t="s">
        <v>14</v>
      </c>
      <c r="B9" s="4" t="n">
        <v>172.8</v>
      </c>
      <c r="C9" s="3" t="s">
        <v>15</v>
      </c>
    </row>
    <row r="10" customFormat="false" ht="15" hidden="false" customHeight="false" outlineLevel="0" collapsed="false">
      <c r="A10" s="2" t="s">
        <v>16</v>
      </c>
      <c r="B10" s="4" t="n">
        <v>172.8</v>
      </c>
      <c r="C10" s="3" t="s">
        <v>17</v>
      </c>
    </row>
    <row r="11" customFormat="false" ht="15" hidden="false" customHeight="false" outlineLevel="0" collapsed="false">
      <c r="A11" s="2" t="s">
        <v>18</v>
      </c>
      <c r="B11" s="4" t="n">
        <v>86.4</v>
      </c>
      <c r="C11" s="3" t="s">
        <v>19</v>
      </c>
    </row>
    <row r="12" customFormat="false" ht="23.85" hidden="false" customHeight="false" outlineLevel="0" collapsed="false">
      <c r="A12" s="2" t="s">
        <v>20</v>
      </c>
      <c r="B12" s="3"/>
      <c r="C12" s="3" t="s">
        <v>21</v>
      </c>
    </row>
    <row r="13" customFormat="false" ht="23.85" hidden="false" customHeight="false" outlineLevel="0" collapsed="false">
      <c r="A13" s="2" t="s">
        <v>22</v>
      </c>
      <c r="B13" s="3"/>
      <c r="C13" s="3" t="s">
        <v>23</v>
      </c>
    </row>
    <row r="14" customFormat="false" ht="23.85" hidden="false" customHeight="false" outlineLevel="0" collapsed="false">
      <c r="A14" s="2" t="s">
        <v>24</v>
      </c>
      <c r="B14" s="3"/>
      <c r="C14" s="3" t="s">
        <v>25</v>
      </c>
    </row>
    <row r="15" customFormat="false" ht="23.85" hidden="false" customHeight="false" outlineLevel="0" collapsed="false">
      <c r="A15" s="2" t="s">
        <v>26</v>
      </c>
      <c r="B15" s="3"/>
      <c r="C15" s="3" t="s">
        <v>27</v>
      </c>
    </row>
    <row r="16" customFormat="false" ht="35.05" hidden="false" customHeight="false" outlineLevel="0" collapsed="false">
      <c r="A16" s="2" t="s">
        <v>28</v>
      </c>
      <c r="B16" s="3"/>
      <c r="C16" s="3" t="s">
        <v>29</v>
      </c>
    </row>
    <row r="17" customFormat="false" ht="23.85" hidden="false" customHeight="false" outlineLevel="0" collapsed="false">
      <c r="A17" s="2" t="s">
        <v>30</v>
      </c>
      <c r="B17" s="3"/>
      <c r="C17" s="3" t="s">
        <v>31</v>
      </c>
    </row>
    <row r="19" customFormat="false" ht="35.05" hidden="false" customHeight="false" outlineLevel="0" collapsed="false">
      <c r="A19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7"/>
    <col collapsed="false" customWidth="true" hidden="false" outlineLevel="0" max="4" min="4" style="0" width="11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1"/>
    <col collapsed="false" customWidth="true" hidden="false" outlineLevel="0" max="18" min="18" style="0" width="10"/>
  </cols>
  <sheetData>
    <row r="1" customFormat="false" ht="23.85" hidden="false" customHeight="false" outlineLevel="0" collapsed="false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  <c r="O1" s="6" t="s">
        <v>47</v>
      </c>
      <c r="P1" s="6" t="s">
        <v>48</v>
      </c>
      <c r="Q1" s="6" t="s">
        <v>49</v>
      </c>
      <c r="R1" s="6" t="s">
        <v>50</v>
      </c>
    </row>
    <row r="2" customFormat="false" ht="15" hidden="false" customHeight="false" outlineLevel="0" collapsed="false">
      <c r="A2" s="3" t="n">
        <v>1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7" t="n">
        <v>368640</v>
      </c>
      <c r="I2" s="3"/>
      <c r="J2" s="7" t="n">
        <v>0</v>
      </c>
      <c r="K2" s="3"/>
      <c r="L2" s="7" t="n">
        <v>0</v>
      </c>
      <c r="M2" s="3" t="s">
        <v>57</v>
      </c>
      <c r="N2" s="3" t="s">
        <v>58</v>
      </c>
      <c r="O2" s="7" t="n">
        <v>180224</v>
      </c>
      <c r="P2" s="3"/>
      <c r="Q2" s="7" t="n">
        <v>0</v>
      </c>
      <c r="R2" s="8" t="n">
        <v>0.0005</v>
      </c>
    </row>
    <row r="3" customFormat="false" ht="15" hidden="false" customHeight="false" outlineLevel="0" collapsed="false">
      <c r="A3" s="3" t="n">
        <v>2</v>
      </c>
      <c r="B3" s="3" t="s">
        <v>59</v>
      </c>
      <c r="C3" s="3" t="s">
        <v>52</v>
      </c>
      <c r="D3" s="3" t="s">
        <v>53</v>
      </c>
      <c r="E3" s="3" t="s">
        <v>60</v>
      </c>
      <c r="F3" s="3" t="s">
        <v>61</v>
      </c>
      <c r="G3" s="3" t="s">
        <v>58</v>
      </c>
      <c r="H3" s="7" t="n">
        <v>180224</v>
      </c>
      <c r="I3" s="3"/>
      <c r="J3" s="7" t="n">
        <v>0</v>
      </c>
      <c r="K3" s="3" t="s">
        <v>62</v>
      </c>
      <c r="L3" s="7" t="n">
        <v>393216</v>
      </c>
      <c r="M3" s="3" t="s">
        <v>63</v>
      </c>
      <c r="N3" s="3" t="s">
        <v>58</v>
      </c>
      <c r="O3" s="7" t="n">
        <v>1056</v>
      </c>
      <c r="P3" s="3"/>
      <c r="Q3" s="7" t="n">
        <v>0</v>
      </c>
      <c r="R3" s="8" t="n">
        <v>0.0086</v>
      </c>
    </row>
    <row r="4" customFormat="false" ht="15" hidden="false" customHeight="false" outlineLevel="0" collapsed="false">
      <c r="A4" s="3" t="n">
        <v>3</v>
      </c>
      <c r="B4" s="3" t="s">
        <v>64</v>
      </c>
      <c r="C4" s="3" t="s">
        <v>52</v>
      </c>
      <c r="D4" s="3" t="s">
        <v>53</v>
      </c>
      <c r="E4" s="3" t="s">
        <v>65</v>
      </c>
      <c r="F4" s="3" t="s">
        <v>66</v>
      </c>
      <c r="G4" s="3" t="s">
        <v>58</v>
      </c>
      <c r="H4" s="7" t="n">
        <v>1056</v>
      </c>
      <c r="I4" s="3"/>
      <c r="J4" s="7" t="n">
        <v>0</v>
      </c>
      <c r="K4" s="3"/>
      <c r="L4" s="7" t="n">
        <v>0</v>
      </c>
      <c r="M4" s="3" t="s">
        <v>67</v>
      </c>
      <c r="N4" s="3" t="s">
        <v>58</v>
      </c>
      <c r="O4" s="7" t="n">
        <v>1056</v>
      </c>
      <c r="P4" s="3"/>
      <c r="Q4" s="7" t="n">
        <v>0</v>
      </c>
      <c r="R4" s="8" t="n">
        <v>0</v>
      </c>
    </row>
    <row r="5" customFormat="false" ht="15" hidden="false" customHeight="false" outlineLevel="0" collapsed="false">
      <c r="A5" s="3" t="n">
        <v>4</v>
      </c>
      <c r="B5" s="3" t="s">
        <v>68</v>
      </c>
      <c r="C5" s="3" t="s">
        <v>52</v>
      </c>
      <c r="D5" s="3" t="s">
        <v>53</v>
      </c>
      <c r="E5" s="3" t="s">
        <v>69</v>
      </c>
      <c r="F5" s="3" t="s">
        <v>70</v>
      </c>
      <c r="G5" s="3" t="s">
        <v>58</v>
      </c>
      <c r="H5" s="7" t="n">
        <v>1056</v>
      </c>
      <c r="I5" s="3"/>
      <c r="J5" s="7" t="n">
        <v>0</v>
      </c>
      <c r="K5" s="3"/>
      <c r="L5" s="7" t="n">
        <v>0</v>
      </c>
      <c r="M5" s="3" t="s">
        <v>71</v>
      </c>
      <c r="N5" s="3" t="s">
        <v>56</v>
      </c>
      <c r="O5" s="7" t="n">
        <v>45056</v>
      </c>
      <c r="P5" s="3"/>
      <c r="Q5" s="7" t="n">
        <v>0</v>
      </c>
      <c r="R5" s="8" t="n">
        <v>0.0004</v>
      </c>
    </row>
    <row r="6" customFormat="false" ht="23.85" hidden="false" customHeight="false" outlineLevel="0" collapsed="false">
      <c r="A6" s="3" t="n">
        <v>5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  <c r="G6" s="3" t="s">
        <v>56</v>
      </c>
      <c r="H6" s="7" t="n">
        <v>45056</v>
      </c>
      <c r="I6" s="3"/>
      <c r="J6" s="7" t="n">
        <v>0</v>
      </c>
      <c r="K6" s="3" t="s">
        <v>77</v>
      </c>
      <c r="L6" s="7" t="n">
        <v>4194304</v>
      </c>
      <c r="M6" s="3" t="s">
        <v>78</v>
      </c>
      <c r="N6" s="3" t="s">
        <v>79</v>
      </c>
      <c r="O6" s="7" t="n">
        <v>11264</v>
      </c>
      <c r="P6" s="3"/>
      <c r="Q6" s="7" t="n">
        <v>0</v>
      </c>
      <c r="R6" s="8" t="n">
        <v>0.0923</v>
      </c>
    </row>
    <row r="7" customFormat="false" ht="15" hidden="false" customHeight="false" outlineLevel="0" collapsed="false">
      <c r="A7" s="3" t="n">
        <v>6</v>
      </c>
      <c r="B7" s="3" t="s">
        <v>80</v>
      </c>
      <c r="C7" s="3" t="s">
        <v>73</v>
      </c>
      <c r="D7" s="3" t="s">
        <v>74</v>
      </c>
      <c r="E7" s="3" t="s">
        <v>81</v>
      </c>
      <c r="F7" s="3" t="s">
        <v>76</v>
      </c>
      <c r="G7" s="3" t="s">
        <v>56</v>
      </c>
      <c r="H7" s="7" t="n">
        <v>45056</v>
      </c>
      <c r="I7" s="3"/>
      <c r="J7" s="7" t="n">
        <v>0</v>
      </c>
      <c r="K7" s="3" t="s">
        <v>82</v>
      </c>
      <c r="L7" s="7" t="n">
        <v>4194304</v>
      </c>
      <c r="M7" s="3" t="s">
        <v>83</v>
      </c>
      <c r="N7" s="3" t="s">
        <v>79</v>
      </c>
      <c r="O7" s="7" t="n">
        <v>11264</v>
      </c>
      <c r="P7" s="3"/>
      <c r="Q7" s="7" t="n">
        <v>0</v>
      </c>
      <c r="R7" s="8" t="n">
        <v>0.0923</v>
      </c>
    </row>
    <row r="8" customFormat="false" ht="15" hidden="false" customHeight="false" outlineLevel="0" collapsed="false">
      <c r="A8" s="3" t="n">
        <v>7</v>
      </c>
      <c r="B8" s="3" t="s">
        <v>84</v>
      </c>
      <c r="C8" s="3" t="s">
        <v>73</v>
      </c>
      <c r="D8" s="3" t="s">
        <v>74</v>
      </c>
      <c r="E8" s="3" t="s">
        <v>85</v>
      </c>
      <c r="F8" s="3" t="s">
        <v>86</v>
      </c>
      <c r="G8" s="3" t="s">
        <v>79</v>
      </c>
      <c r="H8" s="7" t="n">
        <v>11264</v>
      </c>
      <c r="I8" s="3"/>
      <c r="J8" s="7" t="n">
        <v>0</v>
      </c>
      <c r="K8" s="3" t="s">
        <v>87</v>
      </c>
      <c r="L8" s="7" t="n">
        <v>8192</v>
      </c>
      <c r="M8" s="3" t="s">
        <v>88</v>
      </c>
      <c r="N8" s="3" t="s">
        <v>79</v>
      </c>
      <c r="O8" s="7" t="n">
        <v>11264</v>
      </c>
      <c r="P8" s="3"/>
      <c r="Q8" s="7" t="n">
        <v>0</v>
      </c>
      <c r="R8" s="8" t="n">
        <v>0.0001</v>
      </c>
    </row>
    <row r="9" customFormat="false" ht="23.85" hidden="false" customHeight="false" outlineLevel="0" collapsed="false">
      <c r="A9" s="3" t="n">
        <v>8</v>
      </c>
      <c r="B9" s="3" t="s">
        <v>89</v>
      </c>
      <c r="C9" s="3" t="s">
        <v>73</v>
      </c>
      <c r="D9" s="3" t="s">
        <v>74</v>
      </c>
      <c r="E9" s="3" t="s">
        <v>90</v>
      </c>
      <c r="F9" s="3" t="s">
        <v>91</v>
      </c>
      <c r="G9" s="3" t="s">
        <v>79</v>
      </c>
      <c r="H9" s="7" t="n">
        <v>22528</v>
      </c>
      <c r="I9" s="3"/>
      <c r="J9" s="7" t="n">
        <v>0</v>
      </c>
      <c r="K9" s="3"/>
      <c r="L9" s="7" t="n">
        <v>0</v>
      </c>
      <c r="M9" s="3" t="s">
        <v>92</v>
      </c>
      <c r="N9" s="3" t="s">
        <v>93</v>
      </c>
      <c r="O9" s="7" t="n">
        <v>7168</v>
      </c>
      <c r="P9" s="3"/>
      <c r="Q9" s="7" t="n">
        <v>0</v>
      </c>
      <c r="R9" s="8" t="n">
        <v>0</v>
      </c>
    </row>
    <row r="10" customFormat="false" ht="15" hidden="false" customHeight="false" outlineLevel="0" collapsed="false">
      <c r="A10" s="3" t="n">
        <v>9</v>
      </c>
      <c r="B10" s="3" t="s">
        <v>94</v>
      </c>
      <c r="C10" s="3" t="s">
        <v>95</v>
      </c>
      <c r="D10" s="3" t="s">
        <v>96</v>
      </c>
      <c r="E10" s="3" t="s">
        <v>97</v>
      </c>
      <c r="F10" s="3" t="s">
        <v>76</v>
      </c>
      <c r="G10" s="3" t="s">
        <v>56</v>
      </c>
      <c r="H10" s="7" t="n">
        <v>45056</v>
      </c>
      <c r="I10" s="3"/>
      <c r="J10" s="7" t="n">
        <v>0</v>
      </c>
      <c r="K10" s="3" t="s">
        <v>98</v>
      </c>
      <c r="L10" s="7" t="n">
        <v>524288</v>
      </c>
      <c r="M10" s="3" t="s">
        <v>99</v>
      </c>
      <c r="N10" s="3" t="s">
        <v>93</v>
      </c>
      <c r="O10" s="7" t="n">
        <v>768</v>
      </c>
      <c r="P10" s="3"/>
      <c r="Q10" s="7" t="n">
        <v>0</v>
      </c>
      <c r="R10" s="8" t="n">
        <v>0.0231</v>
      </c>
    </row>
    <row r="11" customFormat="false" ht="15" hidden="false" customHeight="false" outlineLevel="0" collapsed="false">
      <c r="A11" s="3" t="n">
        <v>10</v>
      </c>
      <c r="B11" s="3" t="s">
        <v>100</v>
      </c>
      <c r="C11" s="3" t="s">
        <v>101</v>
      </c>
      <c r="D11" s="3" t="s">
        <v>96</v>
      </c>
      <c r="E11" s="3" t="s">
        <v>102</v>
      </c>
      <c r="F11" s="3" t="s">
        <v>76</v>
      </c>
      <c r="G11" s="3" t="s">
        <v>56</v>
      </c>
      <c r="H11" s="7" t="n">
        <v>45056</v>
      </c>
      <c r="I11" s="3"/>
      <c r="J11" s="7" t="n">
        <v>0</v>
      </c>
      <c r="K11" s="3" t="s">
        <v>103</v>
      </c>
      <c r="L11" s="7" t="n">
        <v>4194304</v>
      </c>
      <c r="M11" s="3" t="s">
        <v>104</v>
      </c>
      <c r="N11" s="3" t="s">
        <v>56</v>
      </c>
      <c r="O11" s="7" t="n">
        <v>11264</v>
      </c>
      <c r="P11" s="3"/>
      <c r="Q11" s="7" t="n">
        <v>0</v>
      </c>
      <c r="R11" s="8" t="n">
        <v>0.0923</v>
      </c>
    </row>
    <row r="12" customFormat="false" ht="15" hidden="false" customHeight="false" outlineLevel="0" collapsed="false">
      <c r="A12" s="3" t="n">
        <v>11</v>
      </c>
      <c r="B12" s="3" t="s">
        <v>105</v>
      </c>
      <c r="C12" s="3" t="s">
        <v>101</v>
      </c>
      <c r="D12" s="3" t="s">
        <v>106</v>
      </c>
      <c r="E12" s="3" t="s">
        <v>107</v>
      </c>
      <c r="F12" s="3" t="s">
        <v>108</v>
      </c>
      <c r="G12" s="3" t="s">
        <v>56</v>
      </c>
      <c r="H12" s="7" t="n">
        <v>11264</v>
      </c>
      <c r="I12" s="3"/>
      <c r="J12" s="7" t="n">
        <v>0</v>
      </c>
      <c r="K12" s="3" t="s">
        <v>109</v>
      </c>
      <c r="L12" s="7" t="n">
        <v>33554432</v>
      </c>
      <c r="M12" s="3" t="s">
        <v>110</v>
      </c>
      <c r="N12" s="3" t="s">
        <v>79</v>
      </c>
      <c r="O12" s="7" t="n">
        <v>360448</v>
      </c>
      <c r="P12" s="3"/>
      <c r="Q12" s="7" t="n">
        <v>0</v>
      </c>
      <c r="R12" s="8" t="n">
        <v>0.7385</v>
      </c>
    </row>
    <row r="13" customFormat="false" ht="15" hidden="false" customHeight="false" outlineLevel="0" collapsed="false">
      <c r="A13" s="3" t="n">
        <v>12</v>
      </c>
      <c r="B13" s="3" t="s">
        <v>111</v>
      </c>
      <c r="C13" s="3" t="s">
        <v>101</v>
      </c>
      <c r="D13" s="3" t="s">
        <v>106</v>
      </c>
      <c r="E13" s="3" t="s">
        <v>112</v>
      </c>
      <c r="F13" s="3" t="s">
        <v>113</v>
      </c>
      <c r="G13" s="3" t="s">
        <v>79</v>
      </c>
      <c r="H13" s="7" t="n">
        <v>360448</v>
      </c>
      <c r="I13" s="3"/>
      <c r="J13" s="7" t="n">
        <v>0</v>
      </c>
      <c r="K13" s="3"/>
      <c r="L13" s="7" t="n">
        <v>0</v>
      </c>
      <c r="M13" s="3" t="s">
        <v>114</v>
      </c>
      <c r="N13" s="3" t="s">
        <v>56</v>
      </c>
      <c r="O13" s="7" t="n">
        <v>720896</v>
      </c>
      <c r="P13" s="3"/>
      <c r="Q13" s="7" t="n">
        <v>0</v>
      </c>
      <c r="R13" s="8" t="n">
        <v>0.0029</v>
      </c>
    </row>
    <row r="14" customFormat="false" ht="23.85" hidden="false" customHeight="false" outlineLevel="0" collapsed="false">
      <c r="A14" s="3" t="n">
        <v>13</v>
      </c>
      <c r="B14" s="3" t="s">
        <v>115</v>
      </c>
      <c r="C14" s="3" t="s">
        <v>95</v>
      </c>
      <c r="D14" s="3" t="s">
        <v>96</v>
      </c>
      <c r="E14" s="3" t="s">
        <v>116</v>
      </c>
      <c r="F14" s="3" t="s">
        <v>108</v>
      </c>
      <c r="G14" s="3" t="s">
        <v>56</v>
      </c>
      <c r="H14" s="7" t="n">
        <v>11264</v>
      </c>
      <c r="I14" s="3"/>
      <c r="J14" s="7" t="n">
        <v>0</v>
      </c>
      <c r="K14" s="3" t="s">
        <v>117</v>
      </c>
      <c r="L14" s="7" t="n">
        <v>4210688</v>
      </c>
      <c r="M14" s="3" t="s">
        <v>118</v>
      </c>
      <c r="N14" s="3" t="s">
        <v>79</v>
      </c>
      <c r="O14" s="7" t="n">
        <v>92160</v>
      </c>
      <c r="P14" s="3"/>
      <c r="Q14" s="7" t="n">
        <v>0</v>
      </c>
      <c r="R14" s="8" t="n">
        <v>0.2076</v>
      </c>
    </row>
    <row r="15" customFormat="false" ht="15" hidden="false" customHeight="false" outlineLevel="0" collapsed="false">
      <c r="A15" s="3" t="n">
        <v>14</v>
      </c>
      <c r="B15" s="3" t="s">
        <v>119</v>
      </c>
      <c r="C15" s="3" t="s">
        <v>95</v>
      </c>
      <c r="D15" s="3" t="s">
        <v>96</v>
      </c>
      <c r="E15" s="3" t="s">
        <v>120</v>
      </c>
      <c r="F15" s="3" t="s">
        <v>76</v>
      </c>
      <c r="G15" s="3" t="s">
        <v>56</v>
      </c>
      <c r="H15" s="7" t="n">
        <v>45056</v>
      </c>
      <c r="I15" s="3"/>
      <c r="J15" s="7" t="n">
        <v>0</v>
      </c>
      <c r="K15" s="3" t="s">
        <v>121</v>
      </c>
      <c r="L15" s="7" t="n">
        <v>262144</v>
      </c>
      <c r="M15" s="3" t="s">
        <v>122</v>
      </c>
      <c r="N15" s="3" t="s">
        <v>79</v>
      </c>
      <c r="O15" s="7" t="n">
        <v>1408</v>
      </c>
      <c r="P15" s="3"/>
      <c r="Q15" s="7" t="n">
        <v>0</v>
      </c>
      <c r="R15" s="8" t="n">
        <v>0.0058</v>
      </c>
    </row>
    <row r="16" customFormat="false" ht="15" hidden="false" customHeight="false" outlineLevel="0" collapsed="false">
      <c r="A16" s="3" t="n">
        <v>15</v>
      </c>
      <c r="B16" s="3" t="s">
        <v>123</v>
      </c>
      <c r="C16" s="3" t="s">
        <v>95</v>
      </c>
      <c r="D16" s="3" t="s">
        <v>96</v>
      </c>
      <c r="E16" s="3" t="s">
        <v>124</v>
      </c>
      <c r="F16" s="3" t="s">
        <v>125</v>
      </c>
      <c r="G16" s="3" t="s">
        <v>79</v>
      </c>
      <c r="H16" s="7" t="n">
        <v>92160</v>
      </c>
      <c r="I16" s="3" t="s">
        <v>93</v>
      </c>
      <c r="J16" s="7" t="n">
        <v>768</v>
      </c>
      <c r="K16" s="3"/>
      <c r="L16" s="7" t="n">
        <v>0</v>
      </c>
      <c r="M16" s="3" t="s">
        <v>126</v>
      </c>
      <c r="N16" s="3" t="s">
        <v>79</v>
      </c>
      <c r="O16" s="7" t="n">
        <v>4224</v>
      </c>
      <c r="P16" s="3"/>
      <c r="Q16" s="7" t="n">
        <v>0</v>
      </c>
      <c r="R16" s="8" t="n">
        <v>0.0005</v>
      </c>
    </row>
    <row r="17" customFormat="false" ht="15" hidden="false" customHeight="false" outlineLevel="0" collapsed="false">
      <c r="A17" s="3" t="n">
        <v>16</v>
      </c>
      <c r="B17" s="3" t="s">
        <v>127</v>
      </c>
      <c r="C17" s="3" t="s">
        <v>95</v>
      </c>
      <c r="D17" s="3" t="s">
        <v>96</v>
      </c>
      <c r="E17" s="3" t="s">
        <v>128</v>
      </c>
      <c r="F17" s="3" t="s">
        <v>129</v>
      </c>
      <c r="G17" s="3" t="s">
        <v>79</v>
      </c>
      <c r="H17" s="7" t="n">
        <v>5632</v>
      </c>
      <c r="I17" s="3"/>
      <c r="J17" s="7" t="n">
        <v>0</v>
      </c>
      <c r="K17" s="3"/>
      <c r="L17" s="7" t="n">
        <v>0</v>
      </c>
      <c r="M17" s="3" t="s">
        <v>130</v>
      </c>
      <c r="N17" s="3" t="s">
        <v>79</v>
      </c>
      <c r="O17" s="7" t="n">
        <v>66</v>
      </c>
      <c r="P17" s="3"/>
      <c r="Q17" s="7" t="n">
        <v>0</v>
      </c>
      <c r="R17" s="8" t="n">
        <v>0</v>
      </c>
    </row>
    <row r="18" customFormat="false" ht="15" hidden="false" customHeight="false" outlineLevel="0" collapsed="false">
      <c r="A18" s="3" t="n">
        <v>17</v>
      </c>
      <c r="B18" s="3" t="s">
        <v>131</v>
      </c>
      <c r="C18" s="3" t="s">
        <v>95</v>
      </c>
      <c r="D18" s="3" t="s">
        <v>96</v>
      </c>
      <c r="E18" s="3" t="s">
        <v>132</v>
      </c>
      <c r="F18" s="3" t="s">
        <v>133</v>
      </c>
      <c r="G18" s="3" t="s">
        <v>79</v>
      </c>
      <c r="H18" s="7" t="n">
        <v>66</v>
      </c>
      <c r="I18" s="3"/>
      <c r="J18" s="7" t="n">
        <v>0</v>
      </c>
      <c r="K18" s="3"/>
      <c r="L18" s="7" t="n">
        <v>0</v>
      </c>
      <c r="M18" s="3" t="s">
        <v>134</v>
      </c>
      <c r="N18" s="3" t="s">
        <v>79</v>
      </c>
      <c r="O18" s="7" t="n">
        <v>132</v>
      </c>
      <c r="P18" s="3" t="s">
        <v>135</v>
      </c>
      <c r="Q18" s="7" t="n">
        <v>32</v>
      </c>
      <c r="R18" s="8" t="n">
        <v>0</v>
      </c>
    </row>
    <row r="19" customFormat="false" ht="23.85" hidden="false" customHeight="false" outlineLevel="0" collapsed="false">
      <c r="A19" s="3" t="n">
        <v>18</v>
      </c>
      <c r="B19" s="3" t="s">
        <v>136</v>
      </c>
      <c r="C19" s="3" t="s">
        <v>95</v>
      </c>
      <c r="D19" s="3" t="s">
        <v>137</v>
      </c>
      <c r="E19" s="3" t="s">
        <v>138</v>
      </c>
      <c r="F19" s="3" t="s">
        <v>139</v>
      </c>
      <c r="G19" s="3" t="s">
        <v>79</v>
      </c>
      <c r="H19" s="7" t="n">
        <v>132</v>
      </c>
      <c r="I19" s="3" t="s">
        <v>140</v>
      </c>
      <c r="J19" s="7" t="n">
        <v>6912</v>
      </c>
      <c r="K19" s="3"/>
      <c r="L19" s="7" t="n">
        <v>0</v>
      </c>
      <c r="M19" s="3" t="s">
        <v>141</v>
      </c>
      <c r="N19" s="3" t="s">
        <v>93</v>
      </c>
      <c r="O19" s="7" t="n">
        <v>6912</v>
      </c>
      <c r="P19" s="3"/>
      <c r="Q19" s="7" t="n">
        <v>0</v>
      </c>
      <c r="R19" s="8" t="n">
        <v>0</v>
      </c>
    </row>
    <row r="20" customFormat="false" ht="15" hidden="false" customHeight="false" outlineLevel="0" collapsed="false">
      <c r="A20" s="3" t="n">
        <v>19</v>
      </c>
      <c r="B20" s="3" t="s">
        <v>142</v>
      </c>
      <c r="C20" s="3" t="s">
        <v>143</v>
      </c>
      <c r="D20" s="3" t="s">
        <v>106</v>
      </c>
      <c r="E20" s="3" t="s">
        <v>144</v>
      </c>
      <c r="F20" s="3" t="s">
        <v>145</v>
      </c>
      <c r="G20" s="3" t="s">
        <v>93</v>
      </c>
      <c r="H20" s="7" t="n">
        <v>8064</v>
      </c>
      <c r="I20" s="3"/>
      <c r="J20" s="7" t="n">
        <v>0</v>
      </c>
      <c r="K20" s="3"/>
      <c r="L20" s="7" t="n">
        <v>0</v>
      </c>
      <c r="M20" s="3" t="s">
        <v>146</v>
      </c>
      <c r="N20" s="3" t="s">
        <v>93</v>
      </c>
      <c r="O20" s="7" t="n">
        <v>8064</v>
      </c>
      <c r="P20" s="3"/>
      <c r="Q20" s="7" t="n">
        <v>0</v>
      </c>
      <c r="R20" s="8" t="n">
        <v>0.0001</v>
      </c>
    </row>
    <row r="21" customFormat="false" ht="15" hidden="false" customHeight="false" outlineLevel="0" collapsed="false">
      <c r="A21" s="3" t="n">
        <v>20</v>
      </c>
      <c r="B21" s="3" t="s">
        <v>147</v>
      </c>
      <c r="C21" s="3" t="s">
        <v>143</v>
      </c>
      <c r="D21" s="3" t="s">
        <v>106</v>
      </c>
      <c r="E21" s="3" t="s">
        <v>148</v>
      </c>
      <c r="F21" s="3" t="s">
        <v>149</v>
      </c>
      <c r="G21" s="3" t="s">
        <v>56</v>
      </c>
      <c r="H21" s="7" t="n">
        <v>720896</v>
      </c>
      <c r="I21" s="3" t="s">
        <v>93</v>
      </c>
      <c r="J21" s="7" t="n">
        <v>8064</v>
      </c>
      <c r="K21" s="3"/>
      <c r="L21" s="7" t="n">
        <v>0</v>
      </c>
      <c r="M21" s="3" t="s">
        <v>150</v>
      </c>
      <c r="N21" s="3" t="s">
        <v>79</v>
      </c>
      <c r="O21" s="7" t="n">
        <v>19712</v>
      </c>
      <c r="P21" s="3"/>
      <c r="Q21" s="7" t="n">
        <v>0</v>
      </c>
      <c r="R21" s="8" t="n">
        <v>0.0101</v>
      </c>
    </row>
    <row r="22" customFormat="false" ht="15" hidden="false" customHeight="false" outlineLevel="0" collapsed="false">
      <c r="A22" s="3" t="n">
        <v>21</v>
      </c>
      <c r="B22" s="3" t="s">
        <v>151</v>
      </c>
      <c r="C22" s="3" t="s">
        <v>143</v>
      </c>
      <c r="D22" s="3" t="s">
        <v>106</v>
      </c>
      <c r="E22" s="3" t="s">
        <v>152</v>
      </c>
      <c r="F22" s="3" t="s">
        <v>153</v>
      </c>
      <c r="G22" s="3" t="s">
        <v>79</v>
      </c>
      <c r="H22" s="7" t="n">
        <v>19712</v>
      </c>
      <c r="I22" s="3"/>
      <c r="J22" s="7" t="n">
        <v>0</v>
      </c>
      <c r="K22" s="3" t="s">
        <v>154</v>
      </c>
      <c r="L22" s="7" t="n">
        <v>256</v>
      </c>
      <c r="M22" s="3" t="s">
        <v>155</v>
      </c>
      <c r="N22" s="3" t="s">
        <v>79</v>
      </c>
      <c r="O22" s="7" t="n">
        <v>5632</v>
      </c>
      <c r="P22" s="3"/>
      <c r="Q22" s="7" t="n">
        <v>0</v>
      </c>
      <c r="R22" s="8" t="n">
        <v>0.0001</v>
      </c>
    </row>
    <row r="23" customFormat="false" ht="15" hidden="false" customHeight="false" outlineLevel="0" collapsed="false">
      <c r="A23" s="3" t="n">
        <v>22</v>
      </c>
      <c r="B23" s="3" t="s">
        <v>156</v>
      </c>
      <c r="C23" s="3" t="s">
        <v>143</v>
      </c>
      <c r="D23" s="3" t="s">
        <v>106</v>
      </c>
      <c r="E23" s="3" t="s">
        <v>157</v>
      </c>
      <c r="F23" s="3" t="s">
        <v>158</v>
      </c>
      <c r="G23" s="3" t="s">
        <v>79</v>
      </c>
      <c r="H23" s="7" t="n">
        <v>19712</v>
      </c>
      <c r="I23" s="3" t="s">
        <v>93</v>
      </c>
      <c r="J23" s="7" t="n">
        <v>8064</v>
      </c>
      <c r="K23" s="3"/>
      <c r="L23" s="7" t="n">
        <v>0</v>
      </c>
      <c r="M23" s="3" t="s">
        <v>159</v>
      </c>
      <c r="N23" s="3" t="s">
        <v>79</v>
      </c>
      <c r="O23" s="7" t="n">
        <v>1441792</v>
      </c>
      <c r="P23" s="3"/>
      <c r="Q23" s="7" t="n">
        <v>0</v>
      </c>
      <c r="R23" s="8" t="n">
        <v>0.0101</v>
      </c>
    </row>
    <row r="24" customFormat="false" ht="15" hidden="false" customHeight="false" outlineLevel="0" collapsed="false">
      <c r="A24" s="3" t="n">
        <v>23</v>
      </c>
      <c r="B24" s="3" t="s">
        <v>160</v>
      </c>
      <c r="C24" s="3" t="s">
        <v>143</v>
      </c>
      <c r="D24" s="3" t="s">
        <v>106</v>
      </c>
      <c r="E24" s="3" t="s">
        <v>161</v>
      </c>
      <c r="F24" s="3" t="s">
        <v>162</v>
      </c>
      <c r="G24" s="3" t="s">
        <v>79</v>
      </c>
      <c r="H24" s="7" t="n">
        <v>1447424</v>
      </c>
      <c r="I24" s="3"/>
      <c r="J24" s="7" t="n">
        <v>0</v>
      </c>
      <c r="K24" s="3"/>
      <c r="L24" s="7" t="n">
        <v>0</v>
      </c>
      <c r="M24" s="3" t="s">
        <v>163</v>
      </c>
      <c r="N24" s="3" t="s">
        <v>56</v>
      </c>
      <c r="O24" s="7" t="n">
        <v>720896</v>
      </c>
      <c r="P24" s="3"/>
      <c r="Q24" s="7" t="n">
        <v>0</v>
      </c>
      <c r="R24" s="8" t="n">
        <v>0.0011</v>
      </c>
    </row>
    <row r="25" customFormat="false" ht="15" hidden="false" customHeight="false" outlineLevel="0" collapsed="false">
      <c r="A25" s="3" t="n">
        <v>24</v>
      </c>
      <c r="B25" s="3" t="s">
        <v>164</v>
      </c>
      <c r="C25" s="3" t="s">
        <v>165</v>
      </c>
      <c r="D25" s="3" t="s">
        <v>166</v>
      </c>
      <c r="E25" s="3" t="s">
        <v>167</v>
      </c>
      <c r="F25" s="3" t="s">
        <v>168</v>
      </c>
      <c r="G25" s="3" t="s">
        <v>56</v>
      </c>
      <c r="H25" s="7" t="n">
        <v>720896</v>
      </c>
      <c r="I25" s="3"/>
      <c r="J25" s="7" t="n">
        <v>0</v>
      </c>
      <c r="K25" s="3" t="s">
        <v>169</v>
      </c>
      <c r="L25" s="7" t="n">
        <v>33554432</v>
      </c>
      <c r="M25" s="3" t="s">
        <v>170</v>
      </c>
      <c r="N25" s="3" t="s">
        <v>79</v>
      </c>
      <c r="O25" s="7" t="n">
        <v>90112</v>
      </c>
      <c r="P25" s="3"/>
      <c r="Q25" s="7" t="n">
        <v>0</v>
      </c>
      <c r="R25" s="8" t="n">
        <v>0.7385</v>
      </c>
    </row>
    <row r="26" customFormat="false" ht="15" hidden="false" customHeight="false" outlineLevel="0" collapsed="false">
      <c r="A26" s="3" t="n">
        <v>25</v>
      </c>
      <c r="B26" s="3" t="s">
        <v>171</v>
      </c>
      <c r="C26" s="3" t="s">
        <v>165</v>
      </c>
      <c r="D26" s="3" t="s">
        <v>166</v>
      </c>
      <c r="E26" s="3" t="s">
        <v>172</v>
      </c>
      <c r="F26" s="3" t="s">
        <v>173</v>
      </c>
      <c r="G26" s="3" t="s">
        <v>79</v>
      </c>
      <c r="H26" s="7" t="n">
        <v>90112</v>
      </c>
      <c r="I26" s="3"/>
      <c r="J26" s="7" t="n">
        <v>0</v>
      </c>
      <c r="K26" s="3" t="s">
        <v>174</v>
      </c>
      <c r="L26" s="7" t="n">
        <v>33554432</v>
      </c>
      <c r="M26" s="3" t="s">
        <v>175</v>
      </c>
      <c r="N26" s="3" t="s">
        <v>56</v>
      </c>
      <c r="O26" s="7" t="n">
        <v>90112</v>
      </c>
      <c r="P26" s="3"/>
      <c r="Q26" s="7" t="n">
        <v>0</v>
      </c>
      <c r="R26" s="8" t="n">
        <v>0.7385</v>
      </c>
    </row>
    <row r="27" customFormat="false" ht="15" hidden="false" customHeight="false" outlineLevel="0" collapsed="false">
      <c r="A27" s="3" t="n">
        <v>26</v>
      </c>
      <c r="B27" s="3" t="s">
        <v>176</v>
      </c>
      <c r="C27" s="3" t="s">
        <v>176</v>
      </c>
      <c r="D27" s="3" t="s">
        <v>53</v>
      </c>
      <c r="E27" s="3" t="s">
        <v>177</v>
      </c>
      <c r="F27" s="3" t="s">
        <v>178</v>
      </c>
      <c r="G27" s="3" t="s">
        <v>56</v>
      </c>
      <c r="H27" s="7" t="n">
        <v>458752</v>
      </c>
      <c r="I27" s="3"/>
      <c r="J27" s="7" t="n">
        <v>0</v>
      </c>
      <c r="K27" s="3"/>
      <c r="L27" s="7" t="n">
        <v>0</v>
      </c>
      <c r="M27" s="3" t="s">
        <v>179</v>
      </c>
      <c r="N27" s="3" t="s">
        <v>56</v>
      </c>
      <c r="O27" s="7" t="n">
        <v>368640</v>
      </c>
      <c r="P27" s="3"/>
      <c r="Q27" s="7" t="n">
        <v>0</v>
      </c>
      <c r="R27" s="8" t="n">
        <v>0.0018</v>
      </c>
    </row>
    <row r="28" customFormat="false" ht="15" hidden="false" customHeight="false" outlineLevel="0" collapsed="false">
      <c r="A28" s="3" t="n">
        <v>27</v>
      </c>
      <c r="B28" s="3" t="s">
        <v>180</v>
      </c>
      <c r="C28" s="3" t="s">
        <v>181</v>
      </c>
      <c r="D28" s="3" t="s">
        <v>53</v>
      </c>
      <c r="E28" s="3" t="s">
        <v>182</v>
      </c>
      <c r="F28" s="3" t="s">
        <v>183</v>
      </c>
      <c r="G28" s="3" t="s">
        <v>56</v>
      </c>
      <c r="H28" s="7" t="n">
        <v>368640</v>
      </c>
      <c r="I28" s="3"/>
      <c r="J28" s="7" t="n">
        <v>0</v>
      </c>
      <c r="K28" s="3" t="s">
        <v>184</v>
      </c>
      <c r="L28" s="7" t="n">
        <v>393216</v>
      </c>
      <c r="M28" s="3" t="s">
        <v>185</v>
      </c>
      <c r="N28" s="3" t="s">
        <v>58</v>
      </c>
      <c r="O28" s="7" t="n">
        <v>1056</v>
      </c>
      <c r="P28" s="3"/>
      <c r="Q28" s="7" t="n">
        <v>0</v>
      </c>
      <c r="R28" s="8" t="n">
        <v>0.0092</v>
      </c>
    </row>
    <row r="29" customFormat="false" ht="15" hidden="false" customHeight="false" outlineLevel="0" collapsed="false">
      <c r="A29" s="3" t="n">
        <v>28</v>
      </c>
      <c r="B29" s="3" t="s">
        <v>186</v>
      </c>
      <c r="C29" s="3" t="s">
        <v>181</v>
      </c>
      <c r="D29" s="3" t="s">
        <v>53</v>
      </c>
      <c r="E29" s="3" t="s">
        <v>187</v>
      </c>
      <c r="F29" s="3" t="s">
        <v>188</v>
      </c>
      <c r="G29" s="3" t="s">
        <v>58</v>
      </c>
      <c r="H29" s="7" t="n">
        <v>1056</v>
      </c>
      <c r="I29" s="3"/>
      <c r="J29" s="7" t="n">
        <v>0</v>
      </c>
      <c r="K29" s="3"/>
      <c r="L29" s="7" t="n">
        <v>0</v>
      </c>
      <c r="M29" s="3" t="s">
        <v>189</v>
      </c>
      <c r="N29" s="3" t="s">
        <v>56</v>
      </c>
      <c r="O29" s="7" t="n">
        <v>45056</v>
      </c>
      <c r="P29" s="3"/>
      <c r="Q29" s="7" t="n">
        <v>0</v>
      </c>
      <c r="R29" s="8" t="n">
        <v>0.0004</v>
      </c>
    </row>
    <row r="30" customFormat="false" ht="15" hidden="false" customHeight="false" outlineLevel="0" collapsed="false">
      <c r="A30" s="3" t="n">
        <v>29</v>
      </c>
      <c r="B30" s="3" t="s">
        <v>190</v>
      </c>
      <c r="C30" s="3" t="s">
        <v>191</v>
      </c>
      <c r="D30" s="3" t="s">
        <v>192</v>
      </c>
      <c r="E30" s="3" t="s">
        <v>193</v>
      </c>
      <c r="F30" s="3" t="s">
        <v>194</v>
      </c>
      <c r="G30" s="3" t="s">
        <v>58</v>
      </c>
      <c r="H30" s="7" t="n">
        <v>44</v>
      </c>
      <c r="I30" s="3"/>
      <c r="J30" s="7" t="n">
        <v>0</v>
      </c>
      <c r="K30" s="3"/>
      <c r="L30" s="7" t="n">
        <v>0</v>
      </c>
      <c r="M30" s="3" t="s">
        <v>195</v>
      </c>
      <c r="N30" s="3" t="s">
        <v>79</v>
      </c>
      <c r="O30" s="7" t="n">
        <v>200</v>
      </c>
      <c r="P30" s="3"/>
      <c r="Q30" s="7" t="n">
        <v>0</v>
      </c>
      <c r="R30" s="8" t="n">
        <v>0</v>
      </c>
    </row>
    <row r="31" customFormat="false" ht="15" hidden="false" customHeight="false" outlineLevel="0" collapsed="false">
      <c r="A31" s="3" t="n">
        <v>30</v>
      </c>
      <c r="B31" s="3" t="s">
        <v>196</v>
      </c>
      <c r="C31" s="3" t="s">
        <v>191</v>
      </c>
      <c r="D31" s="3" t="s">
        <v>197</v>
      </c>
      <c r="E31" s="3" t="s">
        <v>198</v>
      </c>
      <c r="F31" s="3" t="s">
        <v>199</v>
      </c>
      <c r="G31" s="3" t="s">
        <v>56</v>
      </c>
      <c r="H31" s="7" t="n">
        <v>315392</v>
      </c>
      <c r="I31" s="3"/>
      <c r="J31" s="7" t="n">
        <v>0</v>
      </c>
      <c r="K31" s="3" t="s">
        <v>200</v>
      </c>
      <c r="L31" s="7" t="n">
        <v>29360128</v>
      </c>
      <c r="M31" s="3" t="s">
        <v>201</v>
      </c>
      <c r="N31" s="3" t="s">
        <v>79</v>
      </c>
      <c r="O31" s="7" t="n">
        <v>315392</v>
      </c>
      <c r="P31" s="3"/>
      <c r="Q31" s="7" t="n">
        <v>0</v>
      </c>
      <c r="R31" s="8" t="n">
        <v>1.2918</v>
      </c>
    </row>
    <row r="32" customFormat="false" ht="15" hidden="false" customHeight="false" outlineLevel="0" collapsed="false">
      <c r="A32" s="3" t="n">
        <v>31</v>
      </c>
      <c r="B32" s="3" t="s">
        <v>202</v>
      </c>
      <c r="C32" s="3" t="s">
        <v>191</v>
      </c>
      <c r="D32" s="3" t="s">
        <v>197</v>
      </c>
      <c r="E32" s="3" t="s">
        <v>203</v>
      </c>
      <c r="F32" s="3" t="s">
        <v>199</v>
      </c>
      <c r="G32" s="3" t="s">
        <v>56</v>
      </c>
      <c r="H32" s="7" t="n">
        <v>315392</v>
      </c>
      <c r="I32" s="3"/>
      <c r="J32" s="7" t="n">
        <v>0</v>
      </c>
      <c r="K32" s="3" t="s">
        <v>204</v>
      </c>
      <c r="L32" s="7" t="n">
        <v>29360128</v>
      </c>
      <c r="M32" s="3" t="s">
        <v>205</v>
      </c>
      <c r="N32" s="3" t="s">
        <v>79</v>
      </c>
      <c r="O32" s="7" t="n">
        <v>315392</v>
      </c>
      <c r="P32" s="3"/>
      <c r="Q32" s="7" t="n">
        <v>0</v>
      </c>
      <c r="R32" s="8" t="n">
        <v>1.2918</v>
      </c>
    </row>
    <row r="33" customFormat="false" ht="15" hidden="false" customHeight="false" outlineLevel="0" collapsed="false">
      <c r="A33" s="3" t="n">
        <v>32</v>
      </c>
      <c r="B33" s="3" t="s">
        <v>206</v>
      </c>
      <c r="C33" s="3" t="s">
        <v>191</v>
      </c>
      <c r="D33" s="3" t="s">
        <v>197</v>
      </c>
      <c r="E33" s="3" t="s">
        <v>207</v>
      </c>
      <c r="F33" s="3" t="s">
        <v>208</v>
      </c>
      <c r="G33" s="3" t="s">
        <v>79</v>
      </c>
      <c r="H33" s="7" t="n">
        <v>630784</v>
      </c>
      <c r="I33" s="3"/>
      <c r="J33" s="7" t="n">
        <v>0</v>
      </c>
      <c r="K33" s="3"/>
      <c r="L33" s="7" t="n">
        <v>0</v>
      </c>
      <c r="M33" s="3" t="s">
        <v>209</v>
      </c>
      <c r="N33" s="3" t="s">
        <v>56</v>
      </c>
      <c r="O33" s="7" t="n">
        <v>315392</v>
      </c>
      <c r="P33" s="3"/>
      <c r="Q33" s="7" t="n">
        <v>0</v>
      </c>
      <c r="R33" s="8" t="n">
        <v>0.0005</v>
      </c>
    </row>
    <row r="34" customFormat="false" ht="23.85" hidden="false" customHeight="false" outlineLevel="0" collapsed="false">
      <c r="A34" s="3" t="n">
        <v>33</v>
      </c>
      <c r="B34" s="3" t="s">
        <v>210</v>
      </c>
      <c r="C34" s="3" t="s">
        <v>191</v>
      </c>
      <c r="D34" s="3" t="s">
        <v>197</v>
      </c>
      <c r="E34" s="3" t="s">
        <v>211</v>
      </c>
      <c r="F34" s="3" t="s">
        <v>212</v>
      </c>
      <c r="G34" s="3" t="s">
        <v>56</v>
      </c>
      <c r="H34" s="7" t="n">
        <v>315392</v>
      </c>
      <c r="I34" s="3"/>
      <c r="J34" s="7" t="n">
        <v>0</v>
      </c>
      <c r="K34" s="3" t="s">
        <v>213</v>
      </c>
      <c r="L34" s="7" t="n">
        <v>29360128</v>
      </c>
      <c r="M34" s="3" t="s">
        <v>214</v>
      </c>
      <c r="N34" s="3" t="s">
        <v>79</v>
      </c>
      <c r="O34" s="7" t="n">
        <v>630784</v>
      </c>
      <c r="P34" s="3"/>
      <c r="Q34" s="7" t="n">
        <v>0</v>
      </c>
      <c r="R34" s="8" t="n">
        <v>1.2918</v>
      </c>
    </row>
    <row r="35" customFormat="false" ht="15" hidden="false" customHeight="false" outlineLevel="0" collapsed="false">
      <c r="A35" s="3" t="n">
        <v>34</v>
      </c>
      <c r="B35" s="3" t="s">
        <v>215</v>
      </c>
      <c r="C35" s="3" t="s">
        <v>191</v>
      </c>
      <c r="D35" s="3" t="s">
        <v>197</v>
      </c>
      <c r="E35" s="3" t="s">
        <v>216</v>
      </c>
      <c r="F35" s="3" t="s">
        <v>217</v>
      </c>
      <c r="G35" s="3" t="s">
        <v>79</v>
      </c>
      <c r="H35" s="7" t="n">
        <v>630984</v>
      </c>
      <c r="I35" s="3"/>
      <c r="J35" s="7" t="n">
        <v>0</v>
      </c>
      <c r="K35" s="3"/>
      <c r="L35" s="7" t="n">
        <v>0</v>
      </c>
      <c r="M35" s="3" t="s">
        <v>218</v>
      </c>
      <c r="N35" s="3" t="s">
        <v>56</v>
      </c>
      <c r="O35" s="7" t="n">
        <v>90112</v>
      </c>
      <c r="P35" s="3"/>
      <c r="Q35" s="7" t="n">
        <v>0</v>
      </c>
      <c r="R35" s="8" t="n">
        <v>0.0006</v>
      </c>
    </row>
    <row r="36" customFormat="false" ht="15" hidden="false" customHeight="false" outlineLevel="0" collapsed="false">
      <c r="A36" s="3" t="n">
        <v>35</v>
      </c>
      <c r="B36" s="3" t="s">
        <v>219</v>
      </c>
      <c r="C36" s="3" t="s">
        <v>219</v>
      </c>
      <c r="D36" s="3" t="s">
        <v>53</v>
      </c>
      <c r="E36" s="3" t="s">
        <v>220</v>
      </c>
      <c r="F36" s="3" t="s">
        <v>221</v>
      </c>
      <c r="G36" s="3" t="s">
        <v>56</v>
      </c>
      <c r="H36" s="7" t="n">
        <v>458752</v>
      </c>
      <c r="I36" s="3"/>
      <c r="J36" s="7" t="n">
        <v>0</v>
      </c>
      <c r="K36" s="3"/>
      <c r="L36" s="7" t="n">
        <v>0</v>
      </c>
      <c r="M36" s="3" t="s">
        <v>222</v>
      </c>
      <c r="N36" s="3" t="s">
        <v>56</v>
      </c>
      <c r="O36" s="7" t="n">
        <v>368640</v>
      </c>
      <c r="P36" s="3"/>
      <c r="Q36" s="7" t="n">
        <v>0</v>
      </c>
      <c r="R36" s="8" t="n">
        <v>0.0018</v>
      </c>
    </row>
    <row r="37" customFormat="false" ht="23.85" hidden="false" customHeight="false" outlineLevel="0" collapsed="false">
      <c r="A37" s="3" t="n">
        <v>36</v>
      </c>
      <c r="B37" s="3" t="s">
        <v>223</v>
      </c>
      <c r="C37" s="3" t="s">
        <v>224</v>
      </c>
      <c r="D37" s="3" t="s">
        <v>225</v>
      </c>
      <c r="E37" s="3" t="s">
        <v>226</v>
      </c>
      <c r="F37" s="3" t="s">
        <v>223</v>
      </c>
      <c r="G37" s="3" t="s">
        <v>140</v>
      </c>
      <c r="H37" s="7" t="n">
        <v>0</v>
      </c>
      <c r="I37" s="3"/>
      <c r="J37" s="7" t="n">
        <v>0</v>
      </c>
      <c r="K37" s="3" t="s">
        <v>227</v>
      </c>
      <c r="L37" s="9" t="n">
        <f aca="false">SUM(L2:L36)</f>
        <v>207118592</v>
      </c>
      <c r="M37" s="3" t="s">
        <v>228</v>
      </c>
      <c r="N37" s="3" t="s">
        <v>229</v>
      </c>
      <c r="O37" s="9" t="n">
        <f aca="false">L37</f>
        <v>207118592</v>
      </c>
      <c r="P37" s="3"/>
      <c r="Q37" s="7" t="n">
        <v>0</v>
      </c>
      <c r="R37" s="8" t="n">
        <v>0</v>
      </c>
    </row>
    <row r="39" customFormat="false" ht="550" hidden="false" customHeight="false" outlineLevel="0" collapsed="false">
      <c r="A39" s="5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9" min="6" style="0" width="13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15"/>
    <col collapsed="false" customWidth="true" hidden="false" outlineLevel="0" max="15" min="15" style="0" width="44"/>
  </cols>
  <sheetData>
    <row r="1" customFormat="false" ht="23.85" hidden="false" customHeight="false" outlineLevel="0" collapsed="false">
      <c r="A1" s="6" t="s">
        <v>36</v>
      </c>
      <c r="B1" s="6" t="s">
        <v>231</v>
      </c>
      <c r="C1" s="6" t="s">
        <v>232</v>
      </c>
      <c r="D1" s="6" t="s">
        <v>233</v>
      </c>
      <c r="E1" s="6" t="s">
        <v>234</v>
      </c>
      <c r="F1" s="6" t="s">
        <v>235</v>
      </c>
      <c r="G1" s="6" t="s">
        <v>236</v>
      </c>
      <c r="H1" s="6" t="s">
        <v>237</v>
      </c>
      <c r="I1" s="6" t="s">
        <v>238</v>
      </c>
      <c r="J1" s="6" t="s">
        <v>239</v>
      </c>
      <c r="K1" s="6" t="s">
        <v>240</v>
      </c>
      <c r="L1" s="6" t="s">
        <v>241</v>
      </c>
      <c r="M1" s="6" t="s">
        <v>22</v>
      </c>
      <c r="N1" s="6" t="s">
        <v>242</v>
      </c>
      <c r="O1" s="6" t="s">
        <v>243</v>
      </c>
    </row>
    <row r="2" customFormat="false" ht="23.85" hidden="false" customHeight="false" outlineLevel="0" collapsed="false">
      <c r="A2" s="2" t="s">
        <v>53</v>
      </c>
      <c r="B2" s="3" t="s">
        <v>244</v>
      </c>
      <c r="C2" s="7" t="n">
        <v>64</v>
      </c>
      <c r="D2" s="9" t="n">
        <f aca="false">C2*Methodology!$B$6*Methodology!$B$5</f>
        <v>153.6</v>
      </c>
      <c r="E2" s="10" t="n">
        <f aca="false">SUMIFS(Ops_Detail!R:R,Ops_Detail!D:D,A2)</f>
        <v>0.0227</v>
      </c>
      <c r="F2" s="9" t="n">
        <f aca="false">SUMIFS(Ops_Detail!L:L,Ops_Detail!D:D,A2)</f>
        <v>786432</v>
      </c>
      <c r="G2" s="9" t="n">
        <f aca="false">SUMIFS(Ops_Detail!H:H,Ops_Detail!D:D,A2)+SUMIFS(Ops_Detail!J:J,Ops_Detail!D:D,A2)</f>
        <v>1838176</v>
      </c>
      <c r="H2" s="9" t="n">
        <f aca="false">SUMIFS(Ops_Detail!O:O,Ops_Detail!D:D,A2)+SUMIFS(Ops_Detail!Q:Q,Ops_Detail!D:D,A2)</f>
        <v>1010784</v>
      </c>
      <c r="I2" s="9" t="n">
        <f aca="false">F2+G2+H2</f>
        <v>3635392</v>
      </c>
      <c r="J2" s="11" t="n">
        <f aca="false">IF(I2&gt;0,E2*1000000000/I2,0)</f>
        <v>6.24416844180765</v>
      </c>
      <c r="K2" s="11" t="n">
        <f aca="false">D2/Methodology!$B$7</f>
        <v>2.35222052067381</v>
      </c>
      <c r="L2" s="10" t="n">
        <f aca="false">MAX(F2/(Methodology!$B$7*1000000),IF(D2&gt;0,E2/D2*1000,0))</f>
        <v>0.147786458333333</v>
      </c>
      <c r="M2" s="9" t="n">
        <f aca="false">IF(L2&gt;0,E2/L2*1000,0)</f>
        <v>153.6</v>
      </c>
      <c r="N2" s="3" t="str">
        <f aca="false">IF(F2=0,"RAB-bound (on-chip)",IF(J2&lt;K2,"memory-bound (DDR)","compute-bound"))</f>
        <v>compute-bound</v>
      </c>
      <c r="O2" s="3" t="s">
        <v>245</v>
      </c>
    </row>
    <row r="3" customFormat="false" ht="23.85" hidden="false" customHeight="false" outlineLevel="0" collapsed="false">
      <c r="A3" s="2" t="s">
        <v>74</v>
      </c>
      <c r="B3" s="3" t="s">
        <v>246</v>
      </c>
      <c r="C3" s="7" t="n">
        <v>512</v>
      </c>
      <c r="D3" s="9" t="n">
        <f aca="false">C3*Methodology!$B$6*Methodology!$B$5</f>
        <v>1228.8</v>
      </c>
      <c r="E3" s="10" t="n">
        <f aca="false">SUMIFS(Ops_Detail!R:R,Ops_Detail!D:D,A3)</f>
        <v>0.1847</v>
      </c>
      <c r="F3" s="9" t="n">
        <f aca="false">SUMIFS(Ops_Detail!L:L,Ops_Detail!D:D,A3)</f>
        <v>8396800</v>
      </c>
      <c r="G3" s="9" t="n">
        <f aca="false">SUMIFS(Ops_Detail!H:H,Ops_Detail!D:D,A3)+SUMIFS(Ops_Detail!J:J,Ops_Detail!D:D,A3)</f>
        <v>123904</v>
      </c>
      <c r="H3" s="9" t="n">
        <f aca="false">SUMIFS(Ops_Detail!O:O,Ops_Detail!D:D,A3)+SUMIFS(Ops_Detail!Q:Q,Ops_Detail!D:D,A3)</f>
        <v>40960</v>
      </c>
      <c r="I3" s="9" t="n">
        <f aca="false">F3+G3+H3</f>
        <v>8561664</v>
      </c>
      <c r="J3" s="11" t="n">
        <f aca="false">IF(I3&gt;0,E3*1000000000/I3,0)</f>
        <v>21.5729091914843</v>
      </c>
      <c r="K3" s="11" t="n">
        <f aca="false">D3/Methodology!$B$7</f>
        <v>18.8177641653905</v>
      </c>
      <c r="L3" s="10" t="n">
        <f aca="false">MAX(F3/(Methodology!$B$7*1000000),IF(D3&gt;0,E3/D3*1000,0))</f>
        <v>0.150309244791667</v>
      </c>
      <c r="M3" s="9" t="n">
        <f aca="false">IF(L3&gt;0,E3/L3*1000,0)</f>
        <v>1228.8</v>
      </c>
      <c r="N3" s="3" t="str">
        <f aca="false">IF(F3=0,"RAB-bound (on-chip)",IF(J3&lt;K3,"memory-bound (DDR)","compute-bound"))</f>
        <v>compute-bound</v>
      </c>
      <c r="O3" s="3" t="s">
        <v>247</v>
      </c>
    </row>
    <row r="4" customFormat="false" ht="23.85" hidden="false" customHeight="false" outlineLevel="0" collapsed="false">
      <c r="A4" s="2" t="s">
        <v>96</v>
      </c>
      <c r="B4" s="3" t="s">
        <v>248</v>
      </c>
      <c r="C4" s="7" t="n">
        <v>768</v>
      </c>
      <c r="D4" s="9" t="n">
        <f aca="false">C4*Methodology!$B$6*Methodology!$B$5</f>
        <v>1843.2</v>
      </c>
      <c r="E4" s="10" t="n">
        <f aca="false">SUMIFS(Ops_Detail!R:R,Ops_Detail!D:D,A4)</f>
        <v>0.3293</v>
      </c>
      <c r="F4" s="9" t="n">
        <f aca="false">SUMIFS(Ops_Detail!L:L,Ops_Detail!D:D,A4)</f>
        <v>9191424</v>
      </c>
      <c r="G4" s="9" t="n">
        <f aca="false">SUMIFS(Ops_Detail!H:H,Ops_Detail!D:D,A4)+SUMIFS(Ops_Detail!J:J,Ops_Detail!D:D,A4)</f>
        <v>245058</v>
      </c>
      <c r="H4" s="9" t="n">
        <f aca="false">SUMIFS(Ops_Detail!O:O,Ops_Detail!D:D,A4)+SUMIFS(Ops_Detail!Q:Q,Ops_Detail!D:D,A4)</f>
        <v>110054</v>
      </c>
      <c r="I4" s="9" t="n">
        <f aca="false">F4+G4+H4</f>
        <v>9546536</v>
      </c>
      <c r="J4" s="11" t="n">
        <f aca="false">IF(I4&gt;0,E4*1000000000/I4,0)</f>
        <v>34.4941872109423</v>
      </c>
      <c r="K4" s="11" t="n">
        <f aca="false">D4/Methodology!$B$7</f>
        <v>28.2266462480858</v>
      </c>
      <c r="L4" s="10" t="n">
        <f aca="false">MAX(F4/(Methodology!$B$7*1000000),IF(D4&gt;0,E4/D4*1000,0))</f>
        <v>0.178656684027778</v>
      </c>
      <c r="M4" s="9" t="n">
        <f aca="false">IF(L4&gt;0,E4/L4*1000,0)</f>
        <v>1843.2</v>
      </c>
      <c r="N4" s="3" t="str">
        <f aca="false">IF(F4=0,"RAB-bound (on-chip)",IF(J4&lt;K4,"memory-bound (DDR)","compute-bound"))</f>
        <v>compute-bound</v>
      </c>
      <c r="O4" s="3" t="s">
        <v>249</v>
      </c>
    </row>
    <row r="5" customFormat="false" ht="35.05" hidden="false" customHeight="false" outlineLevel="0" collapsed="false">
      <c r="A5" s="2" t="s">
        <v>106</v>
      </c>
      <c r="B5" s="3" t="s">
        <v>250</v>
      </c>
      <c r="C5" s="7" t="n">
        <v>3584</v>
      </c>
      <c r="D5" s="9" t="n">
        <f aca="false">C5*Methodology!$B$6*Methodology!$B$5</f>
        <v>8601.6</v>
      </c>
      <c r="E5" s="10" t="n">
        <f aca="false">SUMIFS(Ops_Detail!R:R,Ops_Detail!D:D,A5)</f>
        <v>0.7629</v>
      </c>
      <c r="F5" s="9" t="n">
        <f aca="false">SUMIFS(Ops_Detail!L:L,Ops_Detail!D:D,A5)</f>
        <v>33554688</v>
      </c>
      <c r="G5" s="9" t="n">
        <f aca="false">SUMIFS(Ops_Detail!H:H,Ops_Detail!D:D,A5)+SUMIFS(Ops_Detail!J:J,Ops_Detail!D:D,A5)</f>
        <v>2603648</v>
      </c>
      <c r="H5" s="9" t="n">
        <f aca="false">SUMIFS(Ops_Detail!O:O,Ops_Detail!D:D,A5)+SUMIFS(Ops_Detail!Q:Q,Ops_Detail!D:D,A5)</f>
        <v>3277440</v>
      </c>
      <c r="I5" s="9" t="n">
        <f aca="false">F5+G5+H5</f>
        <v>39435776</v>
      </c>
      <c r="J5" s="11" t="n">
        <f aca="false">IF(I5&gt;0,E5*1000000000/I5,0)</f>
        <v>19.345378166262</v>
      </c>
      <c r="K5" s="11" t="n">
        <f aca="false">D5/Methodology!$B$7</f>
        <v>131.724349157734</v>
      </c>
      <c r="L5" s="10" t="n">
        <f aca="false">MAX(F5/(Methodology!$B$7*1000000),IF(D5&gt;0,E5/D5*1000,0))</f>
        <v>0.513854333843798</v>
      </c>
      <c r="M5" s="9" t="n">
        <f aca="false">IF(L5&gt;0,E5/L5*1000,0)</f>
        <v>1484.661994175</v>
      </c>
      <c r="N5" s="3" t="str">
        <f aca="false">IF(F5=0,"RAB-bound (on-chip)",IF(J5&lt;K5,"memory-bound (DDR)","compute-bound"))</f>
        <v>memory-bound (DDR)</v>
      </c>
      <c r="O5" s="3" t="s">
        <v>251</v>
      </c>
    </row>
    <row r="6" customFormat="false" ht="23.85" hidden="false" customHeight="false" outlineLevel="0" collapsed="false">
      <c r="A6" s="2" t="s">
        <v>166</v>
      </c>
      <c r="B6" s="3" t="s">
        <v>252</v>
      </c>
      <c r="C6" s="7" t="n">
        <v>2816</v>
      </c>
      <c r="D6" s="9" t="n">
        <f aca="false">C6*Methodology!$B$6*Methodology!$B$5</f>
        <v>6758.4</v>
      </c>
      <c r="E6" s="10" t="n">
        <f aca="false">SUMIFS(Ops_Detail!R:R,Ops_Detail!D:D,A6)</f>
        <v>1.477</v>
      </c>
      <c r="F6" s="9" t="n">
        <f aca="false">SUMIFS(Ops_Detail!L:L,Ops_Detail!D:D,A6)</f>
        <v>67108864</v>
      </c>
      <c r="G6" s="9" t="n">
        <f aca="false">SUMIFS(Ops_Detail!H:H,Ops_Detail!D:D,A6)+SUMIFS(Ops_Detail!J:J,Ops_Detail!D:D,A6)</f>
        <v>811008</v>
      </c>
      <c r="H6" s="9" t="n">
        <f aca="false">SUMIFS(Ops_Detail!O:O,Ops_Detail!D:D,A6)+SUMIFS(Ops_Detail!Q:Q,Ops_Detail!D:D,A6)</f>
        <v>180224</v>
      </c>
      <c r="I6" s="9" t="n">
        <f aca="false">F6+G6+H6</f>
        <v>68100096</v>
      </c>
      <c r="J6" s="11" t="n">
        <f aca="false">IF(I6&gt;0,E6*1000000000/I6,0)</f>
        <v>21.6886625240587</v>
      </c>
      <c r="K6" s="11" t="n">
        <f aca="false">D6/Methodology!$B$7</f>
        <v>103.497702909648</v>
      </c>
      <c r="L6" s="10" t="n">
        <f aca="false">MAX(F6/(Methodology!$B$7*1000000),IF(D6&gt;0,E6/D6*1000,0))</f>
        <v>1.02770082695253</v>
      </c>
      <c r="M6" s="9" t="n">
        <f aca="false">IF(L6&gt;0,E6/L6*1000,0)</f>
        <v>1437.18868494034</v>
      </c>
      <c r="N6" s="3" t="str">
        <f aca="false">IF(F6=0,"RAB-bound (on-chip)",IF(J6&lt;K6,"memory-bound (DDR)","compute-bound"))</f>
        <v>memory-bound (DDR)</v>
      </c>
      <c r="O6" s="3" t="s">
        <v>253</v>
      </c>
    </row>
    <row r="7" customFormat="false" ht="23.85" hidden="false" customHeight="false" outlineLevel="0" collapsed="false">
      <c r="A7" s="2" t="s">
        <v>192</v>
      </c>
      <c r="B7" s="3" t="s">
        <v>254</v>
      </c>
      <c r="C7" s="7" t="n">
        <v>128</v>
      </c>
      <c r="D7" s="9" t="n">
        <f aca="false">C7*Methodology!$B$6*Methodology!$B$5</f>
        <v>307.2</v>
      </c>
      <c r="E7" s="10" t="n">
        <f aca="false">SUMIFS(Ops_Detail!R:R,Ops_Detail!D:D,A7)</f>
        <v>0</v>
      </c>
      <c r="F7" s="9" t="n">
        <f aca="false">SUMIFS(Ops_Detail!L:L,Ops_Detail!D:D,A7)</f>
        <v>0</v>
      </c>
      <c r="G7" s="9" t="n">
        <f aca="false">SUMIFS(Ops_Detail!H:H,Ops_Detail!D:D,A7)+SUMIFS(Ops_Detail!J:J,Ops_Detail!D:D,A7)</f>
        <v>44</v>
      </c>
      <c r="H7" s="9" t="n">
        <f aca="false">SUMIFS(Ops_Detail!O:O,Ops_Detail!D:D,A7)+SUMIFS(Ops_Detail!Q:Q,Ops_Detail!D:D,A7)</f>
        <v>200</v>
      </c>
      <c r="I7" s="9" t="n">
        <f aca="false">F7+G7+H7</f>
        <v>244</v>
      </c>
      <c r="J7" s="11" t="n">
        <f aca="false">IF(I7&gt;0,E7*1000000000/I7,0)</f>
        <v>0</v>
      </c>
      <c r="K7" s="11" t="n">
        <f aca="false">D7/Methodology!$B$7</f>
        <v>4.70444104134763</v>
      </c>
      <c r="L7" s="10" t="n">
        <f aca="false">MAX(F7/(Methodology!$B$7*1000000),IF(D7&gt;0,E7/D7*1000,0))</f>
        <v>0</v>
      </c>
      <c r="M7" s="9" t="n">
        <f aca="false">IF(L7&gt;0,E7/L7*1000,0)</f>
        <v>0</v>
      </c>
      <c r="N7" s="3" t="str">
        <f aca="false">IF(F7=0,"RAB-bound (on-chip)",IF(J7&lt;K7,"memory-bound (DDR)","compute-bound"))</f>
        <v>RAB-bound (on-chip)</v>
      </c>
      <c r="O7" s="3" t="s">
        <v>255</v>
      </c>
    </row>
    <row r="8" customFormat="false" ht="23.85" hidden="false" customHeight="false" outlineLevel="0" collapsed="false">
      <c r="A8" s="2" t="s">
        <v>197</v>
      </c>
      <c r="B8" s="3" t="s">
        <v>256</v>
      </c>
      <c r="C8" s="7" t="n">
        <v>4096</v>
      </c>
      <c r="D8" s="9" t="n">
        <f aca="false">C8*Methodology!$B$6*Methodology!$B$5</f>
        <v>9830.4</v>
      </c>
      <c r="E8" s="10" t="n">
        <f aca="false">SUMIFS(Ops_Detail!R:R,Ops_Detail!D:D,A8)</f>
        <v>3.8765</v>
      </c>
      <c r="F8" s="9" t="n">
        <f aca="false">SUMIFS(Ops_Detail!L:L,Ops_Detail!D:D,A8)</f>
        <v>88080384</v>
      </c>
      <c r="G8" s="9" t="n">
        <f aca="false">SUMIFS(Ops_Detail!H:H,Ops_Detail!D:D,A8)+SUMIFS(Ops_Detail!J:J,Ops_Detail!D:D,A8)</f>
        <v>2207944</v>
      </c>
      <c r="H8" s="9" t="n">
        <f aca="false">SUMIFS(Ops_Detail!O:O,Ops_Detail!D:D,A8)+SUMIFS(Ops_Detail!Q:Q,Ops_Detail!D:D,A8)</f>
        <v>1667072</v>
      </c>
      <c r="I8" s="9" t="n">
        <f aca="false">F8+G8+H8</f>
        <v>91955400</v>
      </c>
      <c r="J8" s="11" t="n">
        <f aca="false">IF(I8&gt;0,E8*1000000000/I8,0)</f>
        <v>42.1563062093145</v>
      </c>
      <c r="K8" s="11" t="n">
        <f aca="false">D8/Methodology!$B$7</f>
        <v>150.542113323124</v>
      </c>
      <c r="L8" s="10" t="n">
        <f aca="false">MAX(F8/(Methodology!$B$7*1000000),IF(D8&gt;0,E8/D8*1000,0))</f>
        <v>1.34885733537519</v>
      </c>
      <c r="M8" s="9" t="n">
        <f aca="false">IF(L8&gt;0,E8/L8*1000,0)</f>
        <v>2873.91401472546</v>
      </c>
      <c r="N8" s="3" t="str">
        <f aca="false">IF(F8=0,"RAB-bound (on-chip)",IF(J8&lt;K8,"memory-bound (DDR)","compute-bound"))</f>
        <v>memory-bound (DDR)</v>
      </c>
      <c r="O8" s="3" t="s">
        <v>257</v>
      </c>
    </row>
    <row r="9" customFormat="false" ht="57.45" hidden="false" customHeight="false" outlineLevel="0" collapsed="false">
      <c r="A9" s="2" t="s">
        <v>258</v>
      </c>
      <c r="E9" s="12" t="n">
        <f aca="false">SUM(E2:E8)</f>
        <v>6.6531</v>
      </c>
      <c r="F9" s="13" t="n">
        <f aca="false">SUM(F2:F8)</f>
        <v>207118592</v>
      </c>
      <c r="L9" s="12" t="n">
        <f aca="false">SUM(L2:L8)</f>
        <v>3.36716488332429</v>
      </c>
      <c r="N9" s="3" t="s">
        <v>259</v>
      </c>
    </row>
    <row r="11" customFormat="false" ht="236.55" hidden="false" customHeight="false" outlineLevel="0" collapsed="false">
      <c r="A11" s="5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52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38"/>
  </cols>
  <sheetData>
    <row r="1" customFormat="false" ht="23.85" hidden="false" customHeight="false" outlineLevel="0" collapsed="false">
      <c r="A1" s="6" t="s">
        <v>33</v>
      </c>
      <c r="B1" s="6" t="s">
        <v>261</v>
      </c>
      <c r="C1" s="6" t="s">
        <v>262</v>
      </c>
      <c r="D1" s="6" t="s">
        <v>263</v>
      </c>
      <c r="E1" s="6" t="s">
        <v>264</v>
      </c>
      <c r="F1" s="6" t="s">
        <v>265</v>
      </c>
      <c r="G1" s="6" t="s">
        <v>266</v>
      </c>
      <c r="H1" s="6" t="s">
        <v>241</v>
      </c>
      <c r="I1" s="6" t="s">
        <v>267</v>
      </c>
      <c r="J1" s="6" t="s">
        <v>268</v>
      </c>
      <c r="K1" s="6" t="s">
        <v>269</v>
      </c>
      <c r="L1" s="6" t="s">
        <v>270</v>
      </c>
      <c r="M1" s="6" t="s">
        <v>271</v>
      </c>
    </row>
    <row r="2" customFormat="false" ht="23.85" hidden="false" customHeight="false" outlineLevel="0" collapsed="false">
      <c r="A2" s="3" t="n">
        <v>1</v>
      </c>
      <c r="B2" s="2" t="s">
        <v>272</v>
      </c>
      <c r="C2" s="3" t="s">
        <v>56</v>
      </c>
      <c r="D2" s="3" t="s">
        <v>53</v>
      </c>
      <c r="E2" s="3" t="s">
        <v>273</v>
      </c>
      <c r="F2" s="3" t="s">
        <v>274</v>
      </c>
      <c r="G2" s="9" t="n">
        <f aca="false">SUMIFS(Ops_Detail!H:H,Ops_Detail!D:D,"mHCE",Ops_Detail!G:G,"RAB")+SUMIFS(Ops_Detail!J:J,Ops_Detail!D:D,"mHCE",Ops_Detail!I:I,"RAB")</f>
        <v>1654784</v>
      </c>
      <c r="H2" s="10" t="n">
        <f aca="false">INDEX(FU_Summary!$L$2:$L$8,MATCH("mHCE",FU_Summary!$A$2:$A$8,0))</f>
        <v>0.147786458333333</v>
      </c>
      <c r="I2" s="14" t="n">
        <f aca="false">IF(H2&gt;0,G2/H2/1000000,0)</f>
        <v>11.1971287400881</v>
      </c>
      <c r="J2" s="3" t="s">
        <v>275</v>
      </c>
      <c r="K2" s="15" t="n">
        <v>86.4</v>
      </c>
      <c r="L2" s="16" t="n">
        <f aca="false">IF(K2&gt;0,I2/K2,0)</f>
        <v>0.129596397454723</v>
      </c>
      <c r="M2" s="3" t="s">
        <v>276</v>
      </c>
    </row>
    <row r="3" customFormat="false" ht="23.85" hidden="false" customHeight="false" outlineLevel="0" collapsed="false">
      <c r="A3" s="3" t="n">
        <v>2</v>
      </c>
      <c r="B3" s="2" t="s">
        <v>277</v>
      </c>
      <c r="C3" s="3" t="s">
        <v>53</v>
      </c>
      <c r="D3" s="3" t="s">
        <v>56</v>
      </c>
      <c r="E3" s="3" t="s">
        <v>278</v>
      </c>
      <c r="F3" s="3" t="s">
        <v>279</v>
      </c>
      <c r="G3" s="9" t="n">
        <f aca="false">SUMIFS(Ops_Detail!O:O,Ops_Detail!D:D,"mHCE",Ops_Detail!N:N,"RAB")+SUMIFS(Ops_Detail!Q:Q,Ops_Detail!D:D,"mHCE",Ops_Detail!P:P,"RAB")</f>
        <v>827392</v>
      </c>
      <c r="H3" s="10" t="n">
        <f aca="false">INDEX(FU_Summary!$L$2:$L$8,MATCH("mHCE",FU_Summary!$A$2:$A$8,0))</f>
        <v>0.147786458333333</v>
      </c>
      <c r="I3" s="14" t="n">
        <f aca="false">IF(H3&gt;0,G3/H3/1000000,0)</f>
        <v>5.59856437004405</v>
      </c>
      <c r="J3" s="3" t="s">
        <v>275</v>
      </c>
      <c r="K3" s="15" t="n">
        <v>86.4</v>
      </c>
      <c r="L3" s="16" t="n">
        <f aca="false">IF(K3&gt;0,I3/K3,0)</f>
        <v>0.0647981987273617</v>
      </c>
      <c r="M3" s="3"/>
    </row>
    <row r="4" customFormat="false" ht="23.85" hidden="false" customHeight="false" outlineLevel="0" collapsed="false">
      <c r="A4" s="3" t="n">
        <v>3</v>
      </c>
      <c r="B4" s="2" t="s">
        <v>280</v>
      </c>
      <c r="C4" s="3" t="s">
        <v>229</v>
      </c>
      <c r="D4" s="3" t="s">
        <v>53</v>
      </c>
      <c r="E4" s="3" t="s">
        <v>273</v>
      </c>
      <c r="F4" s="3" t="s">
        <v>281</v>
      </c>
      <c r="G4" s="9" t="n">
        <f aca="false">SUMIFS(Ops_Detail!L:L,Ops_Detail!D:D,"mHCE")</f>
        <v>786432</v>
      </c>
      <c r="H4" s="10" t="n">
        <f aca="false">INDEX(FU_Summary!$L$2:$L$8,MATCH("mHCE",FU_Summary!$A$2:$A$8,0))</f>
        <v>0.147786458333333</v>
      </c>
      <c r="I4" s="14" t="n">
        <f aca="false">IF(H4&gt;0,G4/H4/1000000,0)</f>
        <v>5.32140771806167</v>
      </c>
      <c r="J4" s="3" t="s">
        <v>282</v>
      </c>
      <c r="K4" s="15" t="n">
        <v>172.8</v>
      </c>
      <c r="L4" s="16" t="n">
        <f aca="false">IF(K4&gt;0,I4/K4,0)</f>
        <v>0.0307951835535976</v>
      </c>
      <c r="M4" s="3" t="s">
        <v>283</v>
      </c>
    </row>
    <row r="5" customFormat="false" ht="23.85" hidden="false" customHeight="false" outlineLevel="0" collapsed="false">
      <c r="A5" s="3" t="n">
        <v>4</v>
      </c>
      <c r="B5" s="2" t="s">
        <v>284</v>
      </c>
      <c r="C5" s="3" t="s">
        <v>56</v>
      </c>
      <c r="D5" s="3" t="s">
        <v>74</v>
      </c>
      <c r="E5" s="3" t="s">
        <v>273</v>
      </c>
      <c r="F5" s="3" t="s">
        <v>285</v>
      </c>
      <c r="G5" s="9" t="n">
        <f aca="false">SUMIFS(Ops_Detail!H:H,Ops_Detail!D:D,"ACU",Ops_Detail!G:G,"RAB")+SUMIFS(Ops_Detail!J:J,Ops_Detail!D:D,"ACU",Ops_Detail!I:I,"RAB")</f>
        <v>90112</v>
      </c>
      <c r="H5" s="10" t="n">
        <f aca="false">INDEX(FU_Summary!$L$2:$L$8,MATCH("ACU",FU_Summary!$A$2:$A$8,0))</f>
        <v>0.150309244791667</v>
      </c>
      <c r="I5" s="14" t="n">
        <f aca="false">IF(H5&gt;0,G5/H5/1000000,0)</f>
        <v>0.599510696264212</v>
      </c>
      <c r="J5" s="3" t="s">
        <v>275</v>
      </c>
      <c r="K5" s="15" t="n">
        <v>86.4</v>
      </c>
      <c r="L5" s="16" t="n">
        <f aca="false">IF(K5&gt;0,I5/K5,0)</f>
        <v>0.00693878120676172</v>
      </c>
      <c r="M5" s="3"/>
    </row>
    <row r="6" customFormat="false" ht="23.85" hidden="false" customHeight="false" outlineLevel="0" collapsed="false">
      <c r="A6" s="3" t="n">
        <v>5</v>
      </c>
      <c r="B6" s="2" t="s">
        <v>286</v>
      </c>
      <c r="C6" s="3" t="s">
        <v>229</v>
      </c>
      <c r="D6" s="3" t="s">
        <v>74</v>
      </c>
      <c r="E6" s="3" t="s">
        <v>273</v>
      </c>
      <c r="F6" s="3" t="s">
        <v>287</v>
      </c>
      <c r="G6" s="9" t="n">
        <f aca="false">SUMIFS(Ops_Detail!L:L,Ops_Detail!D:D,"ACU")</f>
        <v>8396800</v>
      </c>
      <c r="H6" s="10" t="n">
        <f aca="false">INDEX(FU_Summary!$L$2:$L$8,MATCH("ACU",FU_Summary!$A$2:$A$8,0))</f>
        <v>0.150309244791667</v>
      </c>
      <c r="I6" s="14" t="n">
        <f aca="false">IF(H6&gt;0,G6/H6/1000000,0)</f>
        <v>55.8634966973471</v>
      </c>
      <c r="J6" s="3" t="s">
        <v>282</v>
      </c>
      <c r="K6" s="15" t="n">
        <v>172.8</v>
      </c>
      <c r="L6" s="16" t="n">
        <f aca="false">IF(K6&gt;0,I6/K6,0)</f>
        <v>0.323284124405944</v>
      </c>
      <c r="M6" s="3" t="s">
        <v>288</v>
      </c>
    </row>
    <row r="7" customFormat="false" ht="23.85" hidden="false" customHeight="false" outlineLevel="0" collapsed="false">
      <c r="A7" s="3" t="n">
        <v>6</v>
      </c>
      <c r="B7" s="2" t="s">
        <v>289</v>
      </c>
      <c r="C7" s="3" t="s">
        <v>74</v>
      </c>
      <c r="D7" s="3" t="s">
        <v>79</v>
      </c>
      <c r="E7" s="3" t="s">
        <v>290</v>
      </c>
      <c r="F7" s="3" t="s">
        <v>291</v>
      </c>
      <c r="G7" s="9" t="n">
        <f aca="false">SUMIFS(Ops_Detail!O:O,Ops_Detail!D:D,"ACU",Ops_Detail!N:N,"PSA")+SUMIFS(Ops_Detail!Q:Q,Ops_Detail!D:D,"ACU",Ops_Detail!P:P,"PSA")+SUMIFS(Ops_Detail!H:H,Ops_Detail!D:D,"ACU",Ops_Detail!G:G,"PSA")</f>
        <v>67584</v>
      </c>
      <c r="H7" s="10" t="n">
        <f aca="false">INDEX(FU_Summary!$L$2:$L$8,MATCH("ACU",FU_Summary!$A$2:$A$8,0))</f>
        <v>0.150309244791667</v>
      </c>
      <c r="I7" s="14" t="n">
        <f aca="false">IF(H7&gt;0,G7/H7/1000000,0)</f>
        <v>0.449633022198159</v>
      </c>
      <c r="J7" s="3" t="s">
        <v>292</v>
      </c>
      <c r="K7" s="15" t="n">
        <v>86.4</v>
      </c>
      <c r="L7" s="16" t="n">
        <f aca="false">IF(K7&gt;0,I7/K7,0)</f>
        <v>0.00520408590507129</v>
      </c>
      <c r="M7" s="3" t="s">
        <v>293</v>
      </c>
    </row>
    <row r="8" customFormat="false" ht="23.85" hidden="false" customHeight="false" outlineLevel="0" collapsed="false">
      <c r="A8" s="3" t="n">
        <v>7</v>
      </c>
      <c r="B8" s="2" t="s">
        <v>294</v>
      </c>
      <c r="C8" s="3" t="s">
        <v>74</v>
      </c>
      <c r="D8" s="3" t="s">
        <v>93</v>
      </c>
      <c r="E8" s="3" t="s">
        <v>278</v>
      </c>
      <c r="F8" s="3" t="s">
        <v>295</v>
      </c>
      <c r="G8" s="9" t="n">
        <f aca="false">SUMIFS(Ops_Detail!O:O,Ops_Detail!D:D,"ACU",Ops_Detail!N:N,"KVB")+SUMIFS(Ops_Detail!Q:Q,Ops_Detail!D:D,"ACU",Ops_Detail!P:P,"KVB")</f>
        <v>7168</v>
      </c>
      <c r="H8" s="10" t="n">
        <f aca="false">INDEX(FU_Summary!$L$2:$L$8,MATCH("ACU",FU_Summary!$A$2:$A$8,0))</f>
        <v>0.150309244791667</v>
      </c>
      <c r="I8" s="14" t="n">
        <f aca="false">IF(H8&gt;0,G8/H8/1000000,0)</f>
        <v>0.0476883508391987</v>
      </c>
      <c r="J8" s="3" t="s">
        <v>296</v>
      </c>
      <c r="K8" s="15" t="n">
        <v>172.8</v>
      </c>
      <c r="L8" s="16" t="n">
        <f aca="false">IF(K8&gt;0,I8/K8,0)</f>
        <v>0.000275974252541659</v>
      </c>
      <c r="M8" s="3" t="s">
        <v>297</v>
      </c>
    </row>
    <row r="9" customFormat="false" ht="23.85" hidden="false" customHeight="false" outlineLevel="0" collapsed="false">
      <c r="A9" s="3" t="n">
        <v>8</v>
      </c>
      <c r="B9" s="2" t="s">
        <v>298</v>
      </c>
      <c r="C9" s="3" t="s">
        <v>56</v>
      </c>
      <c r="D9" s="3" t="s">
        <v>96</v>
      </c>
      <c r="E9" s="3" t="s">
        <v>273</v>
      </c>
      <c r="F9" s="3" t="s">
        <v>299</v>
      </c>
      <c r="G9" s="9" t="n">
        <f aca="false">SUMIFS(Ops_Detail!H:H,Ops_Detail!D:D,"LIU",Ops_Detail!G:G,"RAB")+SUMIFS(Ops_Detail!J:J,Ops_Detail!D:D,"LIU",Ops_Detail!I:I,"RAB")</f>
        <v>146432</v>
      </c>
      <c r="H9" s="10" t="n">
        <f aca="false">INDEX(FU_Summary!$L$2:$L$8,MATCH("LIU",FU_Summary!$A$2:$A$8,0))</f>
        <v>0.178656684027778</v>
      </c>
      <c r="I9" s="14" t="n">
        <f aca="false">IF(H9&gt;0,G9/H9/1000000,0)</f>
        <v>0.819627884603705</v>
      </c>
      <c r="J9" s="3" t="s">
        <v>275</v>
      </c>
      <c r="K9" s="15" t="n">
        <v>86.4</v>
      </c>
      <c r="L9" s="16" t="n">
        <f aca="false">IF(K9&gt;0,I9/K9,0)</f>
        <v>0.00948643384957992</v>
      </c>
      <c r="M9" s="3"/>
    </row>
    <row r="10" customFormat="false" ht="23.85" hidden="false" customHeight="false" outlineLevel="0" collapsed="false">
      <c r="A10" s="3" t="n">
        <v>9</v>
      </c>
      <c r="B10" s="2" t="s">
        <v>300</v>
      </c>
      <c r="C10" s="3" t="s">
        <v>96</v>
      </c>
      <c r="D10" s="3" t="s">
        <v>56</v>
      </c>
      <c r="E10" s="3" t="s">
        <v>278</v>
      </c>
      <c r="F10" s="3" t="s">
        <v>104</v>
      </c>
      <c r="G10" s="9" t="n">
        <f aca="false">SUMIFS(Ops_Detail!O:O,Ops_Detail!D:D,"LIU",Ops_Detail!N:N,"RAB")+SUMIFS(Ops_Detail!Q:Q,Ops_Detail!D:D,"LIU",Ops_Detail!P:P,"RAB")</f>
        <v>11264</v>
      </c>
      <c r="H10" s="10" t="n">
        <f aca="false">INDEX(FU_Summary!$L$2:$L$8,MATCH("LIU",FU_Summary!$A$2:$A$8,0))</f>
        <v>0.178656684027778</v>
      </c>
      <c r="I10" s="14" t="n">
        <f aca="false">IF(H10&gt;0,G10/H10/1000000,0)</f>
        <v>0.0630482988156696</v>
      </c>
      <c r="J10" s="3" t="s">
        <v>275</v>
      </c>
      <c r="K10" s="15" t="n">
        <v>86.4</v>
      </c>
      <c r="L10" s="16" t="n">
        <f aca="false">IF(K10&gt;0,I10/K10,0)</f>
        <v>0.000729725680736917</v>
      </c>
      <c r="M10" s="3" t="s">
        <v>301</v>
      </c>
    </row>
    <row r="11" customFormat="false" ht="23.85" hidden="false" customHeight="false" outlineLevel="0" collapsed="false">
      <c r="A11" s="3" t="n">
        <v>10</v>
      </c>
      <c r="B11" s="2" t="s">
        <v>302</v>
      </c>
      <c r="C11" s="3" t="s">
        <v>229</v>
      </c>
      <c r="D11" s="3" t="s">
        <v>96</v>
      </c>
      <c r="E11" s="3" t="s">
        <v>273</v>
      </c>
      <c r="F11" s="3" t="s">
        <v>303</v>
      </c>
      <c r="G11" s="9" t="n">
        <f aca="false">SUMIFS(Ops_Detail!L:L,Ops_Detail!D:D,"LIU")</f>
        <v>9191424</v>
      </c>
      <c r="H11" s="10" t="n">
        <f aca="false">INDEX(FU_Summary!$L$2:$L$8,MATCH("LIU",FU_Summary!$A$2:$A$8,0))</f>
        <v>0.178656684027778</v>
      </c>
      <c r="I11" s="14" t="n">
        <f aca="false">IF(H11&gt;0,G11/H11/1000000,0)</f>
        <v>51.4474118335864</v>
      </c>
      <c r="J11" s="3" t="s">
        <v>282</v>
      </c>
      <c r="K11" s="15" t="n">
        <v>172.8</v>
      </c>
      <c r="L11" s="16" t="n">
        <f aca="false">IF(K11&gt;0,I11/K11,0)</f>
        <v>0.297728077740662</v>
      </c>
      <c r="M11" s="3" t="s">
        <v>304</v>
      </c>
    </row>
    <row r="12" customFormat="false" ht="15" hidden="false" customHeight="false" outlineLevel="0" collapsed="false">
      <c r="A12" s="3" t="n">
        <v>11</v>
      </c>
      <c r="B12" s="2" t="s">
        <v>305</v>
      </c>
      <c r="C12" s="3" t="s">
        <v>96</v>
      </c>
      <c r="D12" s="3" t="s">
        <v>93</v>
      </c>
      <c r="E12" s="3" t="s">
        <v>278</v>
      </c>
      <c r="F12" s="3" t="s">
        <v>99</v>
      </c>
      <c r="G12" s="9" t="n">
        <f aca="false">SUMIFS(Ops_Detail!O:O,Ops_Detail!D:D,"LIU",Ops_Detail!N:N,"KVB")+SUMIFS(Ops_Detail!Q:Q,Ops_Detail!D:D,"LIU",Ops_Detail!P:P,"KVB")</f>
        <v>768</v>
      </c>
      <c r="H12" s="10" t="n">
        <f aca="false">INDEX(FU_Summary!$L$2:$L$8,MATCH("LIU",FU_Summary!$A$2:$A$8,0))</f>
        <v>0.178656684027778</v>
      </c>
      <c r="I12" s="14" t="n">
        <f aca="false">IF(H12&gt;0,G12/H12/1000000,0)</f>
        <v>0.00429874764652293</v>
      </c>
      <c r="J12" s="3" t="s">
        <v>306</v>
      </c>
      <c r="K12" s="15" t="n">
        <v>172.8</v>
      </c>
      <c r="L12" s="16" t="n">
        <f aca="false">IF(K12&gt;0,I12/K12,0)</f>
        <v>2.4877011843304E-005</v>
      </c>
      <c r="M12" s="3"/>
    </row>
    <row r="13" customFormat="false" ht="15" hidden="false" customHeight="false" outlineLevel="0" collapsed="false">
      <c r="A13" s="3" t="n">
        <v>12</v>
      </c>
      <c r="B13" s="2" t="s">
        <v>307</v>
      </c>
      <c r="C13" s="3" t="s">
        <v>93</v>
      </c>
      <c r="D13" s="3" t="s">
        <v>96</v>
      </c>
      <c r="E13" s="3" t="s">
        <v>273</v>
      </c>
      <c r="F13" s="3" t="s">
        <v>308</v>
      </c>
      <c r="G13" s="9" t="n">
        <f aca="false">SUMIFS(Ops_Detail!J:J,Ops_Detail!D:D,"LIU",Ops_Detail!I:I,"KVB")</f>
        <v>768</v>
      </c>
      <c r="H13" s="10" t="n">
        <f aca="false">INDEX(FU_Summary!$L$2:$L$8,MATCH("LIU",FU_Summary!$A$2:$A$8,0))</f>
        <v>0.178656684027778</v>
      </c>
      <c r="I13" s="14" t="n">
        <f aca="false">IF(H13&gt;0,G13/H13/1000000,0)</f>
        <v>0.00429874764652293</v>
      </c>
      <c r="J13" s="3" t="s">
        <v>309</v>
      </c>
      <c r="K13" s="15" t="n">
        <v>172.8</v>
      </c>
      <c r="L13" s="16" t="n">
        <f aca="false">IF(K13&gt;0,I13/K13,0)</f>
        <v>2.4877011843304E-005</v>
      </c>
      <c r="M13" s="3"/>
    </row>
    <row r="14" customFormat="false" ht="23.85" hidden="false" customHeight="false" outlineLevel="0" collapsed="false">
      <c r="A14" s="3" t="n">
        <v>13</v>
      </c>
      <c r="B14" s="2" t="s">
        <v>310</v>
      </c>
      <c r="C14" s="3" t="s">
        <v>96</v>
      </c>
      <c r="D14" s="3" t="s">
        <v>79</v>
      </c>
      <c r="E14" s="3" t="s">
        <v>290</v>
      </c>
      <c r="F14" s="3" t="s">
        <v>311</v>
      </c>
      <c r="G14" s="9" t="n">
        <f aca="false">SUMIFS(Ops_Detail!O:O,Ops_Detail!D:D,"LIU",Ops_Detail!N:N,"PSA")+SUMIFS(Ops_Detail!Q:Q,Ops_Detail!D:D,"LIU",Ops_Detail!P:P,"PSA")+SUMIFS(Ops_Detail!H:H,Ops_Detail!D:D,"LIU",Ops_Detail!G:G,"PSA")</f>
        <v>195848</v>
      </c>
      <c r="H14" s="10" t="n">
        <f aca="false">INDEX(FU_Summary!$L$2:$L$8,MATCH("LIU",FU_Summary!$A$2:$A$8,0))</f>
        <v>0.178656684027778</v>
      </c>
      <c r="I14" s="14" t="n">
        <f aca="false">IF(H14&gt;0,G14/H14/1000000,0)</f>
        <v>1.09622542848466</v>
      </c>
      <c r="J14" s="3" t="s">
        <v>275</v>
      </c>
      <c r="K14" s="15" t="n">
        <v>86.4</v>
      </c>
      <c r="L14" s="16" t="n">
        <f aca="false">IF(K14&gt;0,I14/K14,0)</f>
        <v>0.0126877943111651</v>
      </c>
      <c r="M14" s="3"/>
    </row>
    <row r="15" customFormat="false" ht="23.85" hidden="false" customHeight="false" outlineLevel="0" collapsed="false">
      <c r="A15" s="3" t="n">
        <v>14</v>
      </c>
      <c r="B15" s="2" t="s">
        <v>312</v>
      </c>
      <c r="C15" s="3" t="s">
        <v>96</v>
      </c>
      <c r="D15" s="3" t="s">
        <v>137</v>
      </c>
      <c r="E15" s="3" t="s">
        <v>278</v>
      </c>
      <c r="F15" s="3" t="s">
        <v>313</v>
      </c>
      <c r="G15" s="7" t="n">
        <v>32</v>
      </c>
      <c r="H15" s="10" t="n">
        <f aca="false">INDEX(FU_Summary!$L$2:$L$8,MATCH("LIU",FU_Summary!$A$2:$A$8,0))</f>
        <v>0.178656684027778</v>
      </c>
      <c r="I15" s="14" t="n">
        <f aca="false">IF(H15&gt;0,G15/H15/1000000,0)</f>
        <v>0.000179114485271789</v>
      </c>
      <c r="J15" s="3" t="s">
        <v>314</v>
      </c>
      <c r="K15" s="15" t="n">
        <v>9.6</v>
      </c>
      <c r="L15" s="16" t="n">
        <f aca="false">IF(K15&gt;0,I15/K15,0)</f>
        <v>1.8657758882478E-005</v>
      </c>
      <c r="M15" s="3" t="s">
        <v>315</v>
      </c>
    </row>
    <row r="16" customFormat="false" ht="23.85" hidden="false" customHeight="false" outlineLevel="0" collapsed="false">
      <c r="A16" s="3" t="n">
        <v>15</v>
      </c>
      <c r="B16" s="2" t="s">
        <v>316</v>
      </c>
      <c r="C16" s="3" t="s">
        <v>56</v>
      </c>
      <c r="D16" s="3" t="s">
        <v>106</v>
      </c>
      <c r="E16" s="3" t="s">
        <v>273</v>
      </c>
      <c r="F16" s="3" t="s">
        <v>317</v>
      </c>
      <c r="G16" s="9" t="n">
        <f aca="false">SUMIFS(Ops_Detail!H:H,Ops_Detail!D:D,"QCAU",Ops_Detail!G:G,"RAB")+SUMIFS(Ops_Detail!J:J,Ops_Detail!D:D,"QCAU",Ops_Detail!I:I,"RAB")</f>
        <v>732160</v>
      </c>
      <c r="H16" s="10" t="n">
        <f aca="false">INDEX(FU_Summary!$L$2:$L$8,MATCH("QCAU",FU_Summary!$A$2:$A$8,0))</f>
        <v>0.513854333843798</v>
      </c>
      <c r="I16" s="14" t="n">
        <f aca="false">IF(H16&gt;0,G16/H16/1000000,0)</f>
        <v>1.42483959320379</v>
      </c>
      <c r="J16" s="3" t="s">
        <v>275</v>
      </c>
      <c r="K16" s="15" t="n">
        <v>86.4</v>
      </c>
      <c r="L16" s="16" t="n">
        <f aca="false">IF(K16&gt;0,I16/K16,0)</f>
        <v>0.0164911989954142</v>
      </c>
      <c r="M16" s="3"/>
    </row>
    <row r="17" customFormat="false" ht="23.85" hidden="false" customHeight="false" outlineLevel="0" collapsed="false">
      <c r="A17" s="3" t="n">
        <v>16</v>
      </c>
      <c r="B17" s="2" t="s">
        <v>318</v>
      </c>
      <c r="C17" s="3" t="s">
        <v>106</v>
      </c>
      <c r="D17" s="3" t="s">
        <v>56</v>
      </c>
      <c r="E17" s="3" t="s">
        <v>278</v>
      </c>
      <c r="F17" s="3" t="s">
        <v>319</v>
      </c>
      <c r="G17" s="9" t="n">
        <f aca="false">SUMIFS(Ops_Detail!O:O,Ops_Detail!D:D,"QCAU",Ops_Detail!N:N,"RAB")+SUMIFS(Ops_Detail!Q:Q,Ops_Detail!D:D,"QCAU",Ops_Detail!P:P,"RAB")</f>
        <v>1441792</v>
      </c>
      <c r="H17" s="10" t="n">
        <f aca="false">INDEX(FU_Summary!$L$2:$L$8,MATCH("QCAU",FU_Summary!$A$2:$A$8,0))</f>
        <v>0.513854333843798</v>
      </c>
      <c r="I17" s="14" t="n">
        <f aca="false">IF(H17&gt;0,G17/H17/1000000,0)</f>
        <v>2.80583796815515</v>
      </c>
      <c r="J17" s="3" t="s">
        <v>275</v>
      </c>
      <c r="K17" s="15" t="n">
        <v>86.4</v>
      </c>
      <c r="L17" s="16" t="n">
        <f aca="false">IF(K17&gt;0,I17/K17,0)</f>
        <v>0.0324749764832772</v>
      </c>
      <c r="M17" s="3"/>
    </row>
    <row r="18" customFormat="false" ht="23.85" hidden="false" customHeight="false" outlineLevel="0" collapsed="false">
      <c r="A18" s="3" t="n">
        <v>17</v>
      </c>
      <c r="B18" s="2" t="s">
        <v>320</v>
      </c>
      <c r="C18" s="3" t="s">
        <v>229</v>
      </c>
      <c r="D18" s="3" t="s">
        <v>106</v>
      </c>
      <c r="E18" s="3" t="s">
        <v>273</v>
      </c>
      <c r="F18" s="3" t="s">
        <v>321</v>
      </c>
      <c r="G18" s="9" t="n">
        <f aca="false">SUMIFS(Ops_Detail!L:L,Ops_Detail!D:D,"QCAU")</f>
        <v>33554688</v>
      </c>
      <c r="H18" s="10" t="n">
        <f aca="false">INDEX(FU_Summary!$L$2:$L$8,MATCH("QCAU",FU_Summary!$A$2:$A$8,0))</f>
        <v>0.513854333843798</v>
      </c>
      <c r="I18" s="14" t="n">
        <f aca="false">IF(H18&gt;0,G18/H18/1000000,0)</f>
        <v>65.3</v>
      </c>
      <c r="J18" s="3" t="s">
        <v>282</v>
      </c>
      <c r="K18" s="15" t="n">
        <v>172.8</v>
      </c>
      <c r="L18" s="16" t="n">
        <f aca="false">IF(K18&gt;0,I18/K18,0)</f>
        <v>0.377893518518519</v>
      </c>
      <c r="M18" s="3"/>
    </row>
    <row r="19" customFormat="false" ht="23.85" hidden="false" customHeight="false" outlineLevel="0" collapsed="false">
      <c r="A19" s="3" t="n">
        <v>18</v>
      </c>
      <c r="B19" s="2" t="s">
        <v>322</v>
      </c>
      <c r="C19" s="3" t="s">
        <v>93</v>
      </c>
      <c r="D19" s="3" t="s">
        <v>106</v>
      </c>
      <c r="E19" s="3" t="s">
        <v>273</v>
      </c>
      <c r="F19" s="3" t="s">
        <v>323</v>
      </c>
      <c r="G19" s="9" t="n">
        <f aca="false">SUMIFS(Ops_Detail!H:H,Ops_Detail!D:D,"QCAU",Ops_Detail!G:G,"KVB")+SUMIFS(Ops_Detail!J:J,Ops_Detail!D:D,"QCAU",Ops_Detail!I:I,"KVB")</f>
        <v>24192</v>
      </c>
      <c r="H19" s="10" t="n">
        <f aca="false">INDEX(FU_Summary!$L$2:$L$8,MATCH("QCAU",FU_Summary!$A$2:$A$8,0))</f>
        <v>0.513854333843798</v>
      </c>
      <c r="I19" s="14" t="n">
        <f aca="false">IF(H19&gt;0,G19/H19/1000000,0)</f>
        <v>0.0470794900551601</v>
      </c>
      <c r="J19" s="3" t="s">
        <v>324</v>
      </c>
      <c r="K19" s="15" t="n">
        <v>172.8</v>
      </c>
      <c r="L19" s="16" t="n">
        <f aca="false">IF(K19&gt;0,I19/K19,0)</f>
        <v>0.000272450752634028</v>
      </c>
      <c r="M19" s="3" t="s">
        <v>325</v>
      </c>
    </row>
    <row r="20" customFormat="false" ht="23.85" hidden="false" customHeight="false" outlineLevel="0" collapsed="false">
      <c r="A20" s="3" t="n">
        <v>19</v>
      </c>
      <c r="B20" s="2" t="s">
        <v>326</v>
      </c>
      <c r="C20" s="3" t="s">
        <v>106</v>
      </c>
      <c r="D20" s="3" t="s">
        <v>79</v>
      </c>
      <c r="E20" s="3" t="s">
        <v>290</v>
      </c>
      <c r="F20" s="3" t="s">
        <v>327</v>
      </c>
      <c r="G20" s="9" t="n">
        <f aca="false">SUMIFS(Ops_Detail!O:O,Ops_Detail!D:D,"QCAU",Ops_Detail!N:N,"PSA")+SUMIFS(Ops_Detail!Q:Q,Ops_Detail!D:D,"QCAU",Ops_Detail!P:P,"PSA")+SUMIFS(Ops_Detail!H:H,Ops_Detail!D:D,"QCAU",Ops_Detail!G:G,"PSA")</f>
        <v>3674880</v>
      </c>
      <c r="H20" s="10" t="n">
        <f aca="false">INDEX(FU_Summary!$L$2:$L$8,MATCH("QCAU",FU_Summary!$A$2:$A$8,0))</f>
        <v>0.513854333843798</v>
      </c>
      <c r="I20" s="14" t="n">
        <f aca="false">IF(H20&gt;0,G20/H20/1000000,0)</f>
        <v>7.1515987274267</v>
      </c>
      <c r="J20" s="3" t="s">
        <v>328</v>
      </c>
      <c r="K20" s="15" t="n">
        <v>86.4</v>
      </c>
      <c r="L20" s="16" t="n">
        <f aca="false">IF(K20&gt;0,I20/K20,0)</f>
        <v>0.0827731334192905</v>
      </c>
      <c r="M20" s="3" t="s">
        <v>329</v>
      </c>
    </row>
    <row r="21" customFormat="false" ht="23.85" hidden="false" customHeight="false" outlineLevel="0" collapsed="false">
      <c r="A21" s="3" t="n">
        <v>20</v>
      </c>
      <c r="B21" s="2" t="s">
        <v>330</v>
      </c>
      <c r="C21" s="3" t="s">
        <v>56</v>
      </c>
      <c r="D21" s="3" t="s">
        <v>166</v>
      </c>
      <c r="E21" s="3" t="s">
        <v>273</v>
      </c>
      <c r="F21" s="3" t="s">
        <v>163</v>
      </c>
      <c r="G21" s="9" t="n">
        <f aca="false">SUMIFS(Ops_Detail!H:H,Ops_Detail!D:D,"GOPU",Ops_Detail!G:G,"RAB")+SUMIFS(Ops_Detail!J:J,Ops_Detail!D:D,"GOPU",Ops_Detail!I:I,"RAB")</f>
        <v>720896</v>
      </c>
      <c r="H21" s="10" t="n">
        <f aca="false">INDEX(FU_Summary!$L$2:$L$8,MATCH("GOPU",FU_Summary!$A$2:$A$8,0))</f>
        <v>1.02770082695253</v>
      </c>
      <c r="I21" s="14" t="n">
        <f aca="false">IF(H21&gt;0,G21/H21/1000000,0)</f>
        <v>0.70146484375</v>
      </c>
      <c r="J21" s="3" t="s">
        <v>275</v>
      </c>
      <c r="K21" s="15" t="n">
        <v>86.4</v>
      </c>
      <c r="L21" s="16" t="n">
        <f aca="false">IF(K21&gt;0,I21/K21,0)</f>
        <v>0.0081188060619213</v>
      </c>
      <c r="M21" s="3"/>
    </row>
    <row r="22" customFormat="false" ht="23.85" hidden="false" customHeight="false" outlineLevel="0" collapsed="false">
      <c r="A22" s="3" t="n">
        <v>21</v>
      </c>
      <c r="B22" s="2" t="s">
        <v>331</v>
      </c>
      <c r="C22" s="3" t="s">
        <v>166</v>
      </c>
      <c r="D22" s="3" t="s">
        <v>56</v>
      </c>
      <c r="E22" s="3" t="s">
        <v>278</v>
      </c>
      <c r="F22" s="3" t="s">
        <v>175</v>
      </c>
      <c r="G22" s="9" t="n">
        <f aca="false">SUMIFS(Ops_Detail!O:O,Ops_Detail!D:D,"GOPU",Ops_Detail!N:N,"RAB")+SUMIFS(Ops_Detail!Q:Q,Ops_Detail!D:D,"GOPU",Ops_Detail!P:P,"RAB")</f>
        <v>90112</v>
      </c>
      <c r="H22" s="10" t="n">
        <f aca="false">INDEX(FU_Summary!$L$2:$L$8,MATCH("GOPU",FU_Summary!$A$2:$A$8,0))</f>
        <v>1.02770082695253</v>
      </c>
      <c r="I22" s="14" t="n">
        <f aca="false">IF(H22&gt;0,G22/H22/1000000,0)</f>
        <v>0.08768310546875</v>
      </c>
      <c r="J22" s="3" t="s">
        <v>275</v>
      </c>
      <c r="K22" s="15" t="n">
        <v>86.4</v>
      </c>
      <c r="L22" s="16" t="n">
        <f aca="false">IF(K22&gt;0,I22/K22,0)</f>
        <v>0.00101485075774016</v>
      </c>
      <c r="M22" s="3"/>
    </row>
    <row r="23" customFormat="false" ht="23.85" hidden="false" customHeight="false" outlineLevel="0" collapsed="false">
      <c r="A23" s="3" t="n">
        <v>22</v>
      </c>
      <c r="B23" s="2" t="s">
        <v>332</v>
      </c>
      <c r="C23" s="3" t="s">
        <v>229</v>
      </c>
      <c r="D23" s="3" t="s">
        <v>166</v>
      </c>
      <c r="E23" s="3" t="s">
        <v>273</v>
      </c>
      <c r="F23" s="3" t="s">
        <v>333</v>
      </c>
      <c r="G23" s="9" t="n">
        <f aca="false">SUMIFS(Ops_Detail!L:L,Ops_Detail!D:D,"GOPU")</f>
        <v>67108864</v>
      </c>
      <c r="H23" s="10" t="n">
        <f aca="false">INDEX(FU_Summary!$L$2:$L$8,MATCH("GOPU",FU_Summary!$A$2:$A$8,0))</f>
        <v>1.02770082695253</v>
      </c>
      <c r="I23" s="14" t="n">
        <f aca="false">IF(H23&gt;0,G23/H23/1000000,0)</f>
        <v>65.3</v>
      </c>
      <c r="J23" s="3" t="s">
        <v>282</v>
      </c>
      <c r="K23" s="15" t="n">
        <v>172.8</v>
      </c>
      <c r="L23" s="16" t="n">
        <f aca="false">IF(K23&gt;0,I23/K23,0)</f>
        <v>0.377893518518519</v>
      </c>
      <c r="M23" s="3"/>
    </row>
    <row r="24" customFormat="false" ht="15" hidden="false" customHeight="false" outlineLevel="0" collapsed="false">
      <c r="A24" s="3" t="n">
        <v>23</v>
      </c>
      <c r="B24" s="2" t="s">
        <v>334</v>
      </c>
      <c r="C24" s="3" t="s">
        <v>166</v>
      </c>
      <c r="D24" s="3" t="s">
        <v>79</v>
      </c>
      <c r="E24" s="3" t="s">
        <v>290</v>
      </c>
      <c r="F24" s="3" t="s">
        <v>335</v>
      </c>
      <c r="G24" s="9" t="n">
        <f aca="false">SUMIFS(Ops_Detail!O:O,Ops_Detail!D:D,"GOPU",Ops_Detail!N:N,"PSA")+SUMIFS(Ops_Detail!Q:Q,Ops_Detail!D:D,"GOPU",Ops_Detail!P:P,"PSA")+SUMIFS(Ops_Detail!H:H,Ops_Detail!D:D,"GOPU",Ops_Detail!G:G,"PSA")</f>
        <v>180224</v>
      </c>
      <c r="H24" s="10" t="n">
        <f aca="false">INDEX(FU_Summary!$L$2:$L$8,MATCH("GOPU",FU_Summary!$A$2:$A$8,0))</f>
        <v>1.02770082695253</v>
      </c>
      <c r="I24" s="14" t="n">
        <f aca="false">IF(H24&gt;0,G24/H24/1000000,0)</f>
        <v>0.1753662109375</v>
      </c>
      <c r="J24" s="3" t="s">
        <v>336</v>
      </c>
      <c r="K24" s="15" t="n">
        <v>86.4</v>
      </c>
      <c r="L24" s="16" t="n">
        <f aca="false">IF(K24&gt;0,I24/K24,0)</f>
        <v>0.00202970151548032</v>
      </c>
      <c r="M24" s="3"/>
    </row>
    <row r="25" customFormat="false" ht="23.85" hidden="false" customHeight="false" outlineLevel="0" collapsed="false">
      <c r="A25" s="3" t="n">
        <v>24</v>
      </c>
      <c r="B25" s="2" t="s">
        <v>337</v>
      </c>
      <c r="C25" s="3" t="s">
        <v>192</v>
      </c>
      <c r="D25" s="3" t="s">
        <v>79</v>
      </c>
      <c r="E25" s="3" t="s">
        <v>278</v>
      </c>
      <c r="F25" s="3" t="s">
        <v>338</v>
      </c>
      <c r="G25" s="9" t="n">
        <f aca="false">SUMIFS(Ops_Detail!O:O,Ops_Detail!D:D,"MRU",Ops_Detail!N:N,"PSA")+SUMIFS(Ops_Detail!Q:Q,Ops_Detail!D:D,"MRU",Ops_Detail!P:P,"PSA")</f>
        <v>200</v>
      </c>
      <c r="H25" s="17" t="n">
        <v>0.001</v>
      </c>
      <c r="I25" s="14" t="n">
        <f aca="false">IF(H25&gt;0,G25/H25/1000000,0)</f>
        <v>0.2</v>
      </c>
      <c r="J25" s="3" t="s">
        <v>339</v>
      </c>
      <c r="K25" s="15" t="n">
        <v>4.8</v>
      </c>
      <c r="L25" s="16" t="n">
        <f aca="false">IF(K25&gt;0,I25/K25,0)</f>
        <v>0.0416666666666667</v>
      </c>
      <c r="M25" s="3" t="s">
        <v>340</v>
      </c>
    </row>
    <row r="26" customFormat="false" ht="23.85" hidden="false" customHeight="false" outlineLevel="0" collapsed="false">
      <c r="A26" s="3" t="n">
        <v>25</v>
      </c>
      <c r="B26" s="2" t="s">
        <v>341</v>
      </c>
      <c r="C26" s="3" t="s">
        <v>56</v>
      </c>
      <c r="D26" s="3" t="s">
        <v>197</v>
      </c>
      <c r="E26" s="3" t="s">
        <v>273</v>
      </c>
      <c r="F26" s="3" t="s">
        <v>342</v>
      </c>
      <c r="G26" s="9" t="n">
        <f aca="false">SUMIFS(Ops_Detail!H:H,Ops_Detail!D:D,"ECA",Ops_Detail!G:G,"RAB")+SUMIFS(Ops_Detail!J:J,Ops_Detail!D:D,"ECA",Ops_Detail!I:I,"RAB")</f>
        <v>946176</v>
      </c>
      <c r="H26" s="10" t="n">
        <f aca="false">INDEX(FU_Summary!$L$2:$L$8,MATCH("ECA",FU_Summary!$A$2:$A$8,0))</f>
        <v>1.34885733537519</v>
      </c>
      <c r="I26" s="14" t="n">
        <f aca="false">IF(H26&gt;0,G26/H26/1000000,0)</f>
        <v>0.70146484375</v>
      </c>
      <c r="J26" s="3" t="s">
        <v>343</v>
      </c>
      <c r="K26" s="15" t="n">
        <v>345.6</v>
      </c>
      <c r="L26" s="16" t="n">
        <f aca="false">IF(K26&gt;0,I26/K26,0)</f>
        <v>0.00202970151548032</v>
      </c>
      <c r="M26" s="3" t="s">
        <v>344</v>
      </c>
    </row>
    <row r="27" customFormat="false" ht="23.85" hidden="false" customHeight="false" outlineLevel="0" collapsed="false">
      <c r="A27" s="3" t="n">
        <v>26</v>
      </c>
      <c r="B27" s="2" t="s">
        <v>345</v>
      </c>
      <c r="C27" s="3" t="s">
        <v>197</v>
      </c>
      <c r="D27" s="3" t="s">
        <v>56</v>
      </c>
      <c r="E27" s="3" t="s">
        <v>278</v>
      </c>
      <c r="F27" s="3" t="s">
        <v>346</v>
      </c>
      <c r="G27" s="9" t="n">
        <f aca="false">SUMIFS(Ops_Detail!O:O,Ops_Detail!D:D,"ECA",Ops_Detail!N:N,"RAB")+SUMIFS(Ops_Detail!Q:Q,Ops_Detail!D:D,"ECA",Ops_Detail!P:P,"RAB")</f>
        <v>405504</v>
      </c>
      <c r="H27" s="10" t="n">
        <f aca="false">INDEX(FU_Summary!$L$2:$L$8,MATCH("ECA",FU_Summary!$A$2:$A$8,0))</f>
        <v>1.34885733537519</v>
      </c>
      <c r="I27" s="14" t="n">
        <f aca="false">IF(H27&gt;0,G27/H27/1000000,0)</f>
        <v>0.300627790178571</v>
      </c>
      <c r="J27" s="3" t="s">
        <v>275</v>
      </c>
      <c r="K27" s="15" t="n">
        <v>86.4</v>
      </c>
      <c r="L27" s="16" t="n">
        <f aca="false">IF(K27&gt;0,I27/K27,0)</f>
        <v>0.00347948831225198</v>
      </c>
      <c r="M27" s="3"/>
    </row>
    <row r="28" customFormat="false" ht="23.85" hidden="false" customHeight="false" outlineLevel="0" collapsed="false">
      <c r="A28" s="3" t="n">
        <v>27</v>
      </c>
      <c r="B28" s="2" t="s">
        <v>347</v>
      </c>
      <c r="C28" s="3" t="s">
        <v>229</v>
      </c>
      <c r="D28" s="3" t="s">
        <v>197</v>
      </c>
      <c r="E28" s="3" t="s">
        <v>273</v>
      </c>
      <c r="F28" s="3" t="s">
        <v>348</v>
      </c>
      <c r="G28" s="9" t="n">
        <f aca="false">SUMIFS(Ops_Detail!L:L,Ops_Detail!D:D,"ECA")</f>
        <v>88080384</v>
      </c>
      <c r="H28" s="10" t="n">
        <f aca="false">INDEX(FU_Summary!$L$2:$L$8,MATCH("ECA",FU_Summary!$A$2:$A$8,0))</f>
        <v>1.34885733537519</v>
      </c>
      <c r="I28" s="14" t="n">
        <f aca="false">IF(H28&gt;0,G28/H28/1000000,0)</f>
        <v>65.3</v>
      </c>
      <c r="J28" s="3" t="s">
        <v>349</v>
      </c>
      <c r="K28" s="15" t="n">
        <v>691.2</v>
      </c>
      <c r="L28" s="16" t="n">
        <f aca="false">IF(K28&gt;0,I28/K28,0)</f>
        <v>0.0944733796296296</v>
      </c>
      <c r="M28" s="3" t="s">
        <v>350</v>
      </c>
    </row>
    <row r="29" customFormat="false" ht="15" hidden="false" customHeight="false" outlineLevel="0" collapsed="false">
      <c r="A29" s="3" t="n">
        <v>28</v>
      </c>
      <c r="B29" s="2" t="s">
        <v>351</v>
      </c>
      <c r="C29" s="3" t="s">
        <v>197</v>
      </c>
      <c r="D29" s="3" t="s">
        <v>79</v>
      </c>
      <c r="E29" s="3" t="s">
        <v>290</v>
      </c>
      <c r="F29" s="3" t="s">
        <v>352</v>
      </c>
      <c r="G29" s="9" t="n">
        <f aca="false">SUMIFS(Ops_Detail!O:O,Ops_Detail!D:D,"ECA",Ops_Detail!N:N,"PSA")+SUMIFS(Ops_Detail!Q:Q,Ops_Detail!D:D,"ECA",Ops_Detail!P:P,"PSA")+SUMIFS(Ops_Detail!H:H,Ops_Detail!D:D,"ECA",Ops_Detail!G:G,"PSA")</f>
        <v>2523336</v>
      </c>
      <c r="H29" s="10" t="n">
        <f aca="false">INDEX(FU_Summary!$L$2:$L$8,MATCH("ECA",FU_Summary!$A$2:$A$8,0))</f>
        <v>1.34885733537519</v>
      </c>
      <c r="I29" s="14" t="n">
        <f aca="false">IF(H29&gt;0,G29/H29/1000000,0)</f>
        <v>1.87072119031634</v>
      </c>
      <c r="J29" s="3" t="s">
        <v>336</v>
      </c>
      <c r="K29" s="15" t="n">
        <v>86.4</v>
      </c>
      <c r="L29" s="16" t="n">
        <f aca="false">IF(K29&gt;0,I29/K29,0)</f>
        <v>0.0216518656286613</v>
      </c>
      <c r="M29" s="3"/>
    </row>
    <row r="30" customFormat="false" ht="23.85" hidden="false" customHeight="false" outlineLevel="0" collapsed="false">
      <c r="A30" s="3" t="n">
        <v>29</v>
      </c>
      <c r="B30" s="2" t="s">
        <v>353</v>
      </c>
      <c r="C30" s="3" t="s">
        <v>140</v>
      </c>
      <c r="D30" s="3" t="s">
        <v>229</v>
      </c>
      <c r="E30" s="3" t="s">
        <v>273</v>
      </c>
      <c r="F30" s="3" t="s">
        <v>354</v>
      </c>
      <c r="G30" s="9" t="n">
        <f aca="false">SUMIFS(Ops_Detail!L:L,Ops_Detail!D:D,"mSGDMA-WT")</f>
        <v>207118592</v>
      </c>
      <c r="H30" s="17" t="n">
        <v>3.4</v>
      </c>
      <c r="I30" s="14" t="n">
        <f aca="false">IF(H30&gt;0,G30/H30/1000000,0)</f>
        <v>60.9172329411765</v>
      </c>
      <c r="J30" s="3" t="s">
        <v>355</v>
      </c>
      <c r="K30" s="15" t="n">
        <v>65.3</v>
      </c>
      <c r="L30" s="16" t="n">
        <f aca="false">IF(K30&gt;0,I30/K30,0)</f>
        <v>0.932882587154311</v>
      </c>
      <c r="M30" s="3" t="s">
        <v>356</v>
      </c>
    </row>
    <row r="31" customFormat="false" ht="23.85" hidden="false" customHeight="false" outlineLevel="0" collapsed="false">
      <c r="A31" s="3" t="n">
        <v>30</v>
      </c>
      <c r="B31" s="2" t="s">
        <v>357</v>
      </c>
      <c r="C31" s="3" t="s">
        <v>93</v>
      </c>
      <c r="D31" s="3" t="s">
        <v>140</v>
      </c>
      <c r="E31" s="3" t="s">
        <v>278</v>
      </c>
      <c r="F31" s="3" t="s">
        <v>358</v>
      </c>
      <c r="G31" s="9" t="n">
        <f aca="false">SUMIFS(Ops_Detail!O:O,Ops_Detail!D:D,"ACU",Ops_Detail!N:N,"KVB")*0+2304</f>
        <v>2304</v>
      </c>
      <c r="H31" s="17" t="n">
        <v>3.4</v>
      </c>
      <c r="I31" s="14" t="n">
        <f aca="false">IF(H31&gt;0,G31/H31/1000000,0)</f>
        <v>0.000677647058823529</v>
      </c>
      <c r="J31" s="3" t="s">
        <v>359</v>
      </c>
      <c r="K31" s="15" t="n">
        <v>19.2</v>
      </c>
      <c r="L31" s="16" t="n">
        <f aca="false">IF(K31&gt;0,I31/K31,0)</f>
        <v>3.52941176470588E-005</v>
      </c>
      <c r="M31" s="3" t="s">
        <v>360</v>
      </c>
    </row>
    <row r="32" customFormat="false" ht="23.85" hidden="false" customHeight="false" outlineLevel="0" collapsed="false">
      <c r="A32" s="3" t="n">
        <v>31</v>
      </c>
      <c r="B32" s="2" t="s">
        <v>361</v>
      </c>
      <c r="C32" s="3" t="s">
        <v>140</v>
      </c>
      <c r="D32" s="3" t="s">
        <v>93</v>
      </c>
      <c r="E32" s="3" t="s">
        <v>273</v>
      </c>
      <c r="F32" s="3" t="s">
        <v>362</v>
      </c>
      <c r="G32" s="9" t="n">
        <f aca="false">SUMIFS(Ops_Detail!J:J,Ops_Detail!D:D,"mSGDMA-KV",Ops_Detail!I:I,"DDR4")</f>
        <v>6912</v>
      </c>
      <c r="H32" s="17" t="n">
        <v>0.05</v>
      </c>
      <c r="I32" s="14" t="n">
        <f aca="false">IF(H32&gt;0,G32/H32/1000000,0)</f>
        <v>0.13824</v>
      </c>
      <c r="J32" s="3" t="s">
        <v>363</v>
      </c>
      <c r="K32" s="15" t="n">
        <v>19.2</v>
      </c>
      <c r="L32" s="16" t="n">
        <f aca="false">IF(K32&gt;0,I32/K32,0)</f>
        <v>0.0072</v>
      </c>
      <c r="M32" s="3" t="s">
        <v>364</v>
      </c>
    </row>
    <row r="34" customFormat="false" ht="494" hidden="false" customHeight="false" outlineLevel="0" collapsed="false">
      <c r="A34" s="5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4" min="3" style="0" width="3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23.85" hidden="false" customHeight="false" outlineLevel="0" collapsed="false">
      <c r="A1" s="6" t="s">
        <v>366</v>
      </c>
      <c r="B1" s="6" t="s">
        <v>367</v>
      </c>
      <c r="C1" s="6" t="s">
        <v>368</v>
      </c>
      <c r="D1" s="6" t="s">
        <v>369</v>
      </c>
      <c r="E1" s="6" t="s">
        <v>370</v>
      </c>
      <c r="F1" s="6" t="s">
        <v>371</v>
      </c>
      <c r="G1" s="6" t="s">
        <v>372</v>
      </c>
      <c r="H1" s="6" t="s">
        <v>373</v>
      </c>
    </row>
    <row r="2" customFormat="false" ht="57.45" hidden="false" customHeight="false" outlineLevel="0" collapsed="false">
      <c r="A2" s="3" t="s">
        <v>56</v>
      </c>
      <c r="B2" s="18" t="s">
        <v>374</v>
      </c>
      <c r="C2" s="3" t="s">
        <v>375</v>
      </c>
      <c r="D2" s="3" t="s">
        <v>376</v>
      </c>
      <c r="E2" s="9" t="n">
        <f aca="false">SUMIFS(Ops_Detail!O:O,Ops_Detail!N:N,"RAB")+SUMIFS(Ops_Detail!Q:Q,Ops_Detail!P:P,"RAB")</f>
        <v>2776064</v>
      </c>
      <c r="F2" s="9" t="n">
        <f aca="false">SUMIFS(Ops_Detail!H:H,Ops_Detail!G:G,"RAB")+SUMIFS(Ops_Detail!J:J,Ops_Detail!I:I,"RAB")</f>
        <v>4290560</v>
      </c>
      <c r="G2" s="3" t="s">
        <v>377</v>
      </c>
      <c r="H2" s="3" t="s">
        <v>378</v>
      </c>
    </row>
    <row r="3" customFormat="false" ht="46.25" hidden="false" customHeight="false" outlineLevel="0" collapsed="false">
      <c r="A3" s="3" t="s">
        <v>229</v>
      </c>
      <c r="B3" s="18" t="s">
        <v>379</v>
      </c>
      <c r="C3" s="3" t="s">
        <v>380</v>
      </c>
      <c r="D3" s="3" t="s">
        <v>376</v>
      </c>
      <c r="E3" s="9" t="n">
        <f aca="false">SUMIFS(Interfaces!G:G,Interfaces!D:D,"WTB")</f>
        <v>207118592</v>
      </c>
      <c r="F3" s="9" t="n">
        <f aca="false">SUMIFS(Interfaces!G:G,Interfaces!C:C,"WTB")</f>
        <v>207118592</v>
      </c>
      <c r="G3" s="3" t="s">
        <v>381</v>
      </c>
      <c r="H3" s="3" t="s">
        <v>382</v>
      </c>
    </row>
    <row r="4" customFormat="false" ht="57.45" hidden="false" customHeight="false" outlineLevel="0" collapsed="false">
      <c r="A4" s="3" t="s">
        <v>93</v>
      </c>
      <c r="B4" s="18" t="s">
        <v>383</v>
      </c>
      <c r="C4" s="3" t="s">
        <v>384</v>
      </c>
      <c r="D4" s="3" t="s">
        <v>385</v>
      </c>
      <c r="E4" s="9" t="n">
        <f aca="false">SUMIFS(Ops_Detail!O:O,Ops_Detail!N:N,"KVB")+SUMIFS(Ops_Detail!Q:Q,Ops_Detail!P:P,"KVB")</f>
        <v>22912</v>
      </c>
      <c r="F4" s="9" t="n">
        <f aca="false">SUMIFS(Ops_Detail!H:H,Ops_Detail!G:G,"KVB")+SUMIFS(Ops_Detail!J:J,Ops_Detail!I:I,"KVB")</f>
        <v>24960</v>
      </c>
      <c r="G4" s="3" t="s">
        <v>386</v>
      </c>
      <c r="H4" s="3" t="s">
        <v>387</v>
      </c>
    </row>
    <row r="5" customFormat="false" ht="91" hidden="false" customHeight="false" outlineLevel="0" collapsed="false">
      <c r="A5" s="3" t="s">
        <v>79</v>
      </c>
      <c r="B5" s="18" t="s">
        <v>388</v>
      </c>
      <c r="C5" s="3" t="s">
        <v>389</v>
      </c>
      <c r="D5" s="3" t="s">
        <v>390</v>
      </c>
      <c r="E5" s="9" t="n">
        <f aca="false">SUMIFS(Ops_Detail!O:O,Ops_Detail!N:N,"PSA")+SUMIFS(Ops_Detail!Q:Q,Ops_Detail!P:P,"PSA")</f>
        <v>3311246</v>
      </c>
      <c r="F5" s="9" t="n">
        <f aca="false">SUMIFS(Ops_Detail!H:H,Ops_Detail!G:G,"PSA")+SUMIFS(Ops_Detail!J:J,Ops_Detail!I:I,"PSA")</f>
        <v>3330958</v>
      </c>
      <c r="G5" s="3" t="s">
        <v>391</v>
      </c>
      <c r="H5" s="3" t="s">
        <v>392</v>
      </c>
    </row>
    <row r="6" customFormat="false" ht="46.25" hidden="false" customHeight="false" outlineLevel="0" collapsed="false">
      <c r="A6" s="3" t="s">
        <v>140</v>
      </c>
      <c r="B6" s="18" t="s">
        <v>393</v>
      </c>
      <c r="C6" s="3" t="s">
        <v>394</v>
      </c>
      <c r="D6" s="3" t="s">
        <v>395</v>
      </c>
      <c r="E6" s="9" t="n">
        <f aca="false">SUMIFS(Ops_Detail!O:O,Ops_Detail!N:N,"DDR4")+SUMIFS(Ops_Detail!Q:Q,Ops_Detail!P:P,"DDR4")</f>
        <v>0</v>
      </c>
      <c r="F6" s="9" t="n">
        <f aca="false">SUMIFS(Interfaces!G:G,Interfaces!C:C,"DDR4")</f>
        <v>207125504</v>
      </c>
      <c r="G6" s="3" t="s">
        <v>396</v>
      </c>
      <c r="H6" s="3" t="s">
        <v>397</v>
      </c>
    </row>
    <row r="7" customFormat="false" ht="35.05" hidden="false" customHeight="false" outlineLevel="0" collapsed="false">
      <c r="A7" s="3" t="s">
        <v>58</v>
      </c>
      <c r="B7" s="18" t="s">
        <v>398</v>
      </c>
      <c r="C7" s="3" t="s">
        <v>399</v>
      </c>
      <c r="D7" s="3" t="s">
        <v>400</v>
      </c>
      <c r="E7" s="3" t="s">
        <v>401</v>
      </c>
      <c r="F7" s="3" t="s">
        <v>401</v>
      </c>
      <c r="G7" s="3" t="s">
        <v>223</v>
      </c>
      <c r="H7" s="3" t="s">
        <v>402</v>
      </c>
    </row>
    <row r="9" customFormat="false" ht="270.1" hidden="false" customHeight="false" outlineLevel="0" collapsed="false">
      <c r="A9" s="5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2026-09-28T05:00:45Z</dcterms:created>
  <dc:creator>openpyxl</dc:creator>
  <dc:description/>
  <dc:language>en-US</dc:language>
  <cp:lastModifiedBy/>
  <dcterms:modified xsi:type="dcterms:W3CDTF">2026-09-28T05:00:45Z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