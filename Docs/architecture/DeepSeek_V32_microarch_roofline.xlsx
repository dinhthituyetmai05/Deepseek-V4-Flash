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Per_Layer_Breakdown" sheetId="2" state="visible" r:id="rId4"/>
    <sheet name="Roofline" sheetId="3" state="visible" r:id="rId5"/>
    <sheet name="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<sst xmlns="http://schemas.openxmlformats.org/spreadsheetml/2006/main" count="198" uniqueCount="169">
  <si>
    <t xml:space="preserve">Parameter / Tham số</t>
  </si>
  <si>
    <t xml:space="preserve">Value</t>
  </si>
  <si>
    <t xml:space="preserve">Model</t>
  </si>
  <si>
    <t xml:space="preserve">deepseek-ai/DeepSeek-V3.2 (Dec 2025, FP8 e4m3 weights)</t>
  </si>
  <si>
    <t xml:space="preserve">Source config.json</t>
  </si>
  <si>
    <t xml:space="preserve">https://huggingface.co/deepseek-ai/DeepSeek-V3.2/blob/main/config.json</t>
  </si>
  <si>
    <t xml:space="preserve">hidden_size  (H, d_model)</t>
  </si>
  <si>
    <t xml:space="preserve">intermediate_size  (dense FFN)</t>
  </si>
  <si>
    <t xml:space="preserve">moe_intermediate_size  (per expert)</t>
  </si>
  <si>
    <t xml:space="preserve">num_hidden_layers</t>
  </si>
  <si>
    <t xml:space="preserve">first_k_dense_replace</t>
  </si>
  <si>
    <t xml:space="preserve">→ dense FFN layers</t>
  </si>
  <si>
    <t xml:space="preserve">0..2  (3 total)</t>
  </si>
  <si>
    <t xml:space="preserve">→ MoE FFN layers</t>
  </si>
  <si>
    <t xml:space="preserve">3..60  (58 total)</t>
  </si>
  <si>
    <t xml:space="preserve">num_attention_heads</t>
  </si>
  <si>
    <t xml:space="preserve">num_key_value_heads</t>
  </si>
  <si>
    <t xml:space="preserve">q_lora_rank</t>
  </si>
  <si>
    <t xml:space="preserve">kv_lora_rank</t>
  </si>
  <si>
    <t xml:space="preserve">qk_nope_head_dim</t>
  </si>
  <si>
    <t xml:space="preserve">qk_rope_head_dim</t>
  </si>
  <si>
    <t xml:space="preserve">v_head_dim</t>
  </si>
  <si>
    <t xml:space="preserve">n_routed_experts</t>
  </si>
  <si>
    <t xml:space="preserve">n_shared_experts</t>
  </si>
  <si>
    <t xml:space="preserve">num_experts_per_tok  (top-k routed)</t>
  </si>
  <si>
    <t xml:space="preserve">n_group / topk_group</t>
  </si>
  <si>
    <t xml:space="preserve">8 / 4</t>
  </si>
  <si>
    <t xml:space="preserve">index_n_heads  (DSA indexer)</t>
  </si>
  <si>
    <t xml:space="preserve">index_head_dim  (DSA indexer)</t>
  </si>
  <si>
    <t xml:space="preserve">DSA key cache per token</t>
  </si>
  <si>
    <t xml:space="preserve">index_topk  (DSA top-k tokens)</t>
  </si>
  <si>
    <t xml:space="preserve">vocab_size</t>
  </si>
  <si>
    <t xml:space="preserve">max_position_embeddings (YaRN ×40)</t>
  </si>
  <si>
    <t xml:space="preserve">num_nextn_predict_layers (MTP)</t>
  </si>
  <si>
    <t xml:space="preserve">weight dtype</t>
  </si>
  <si>
    <t xml:space="preserve">FP8 e4m3 (128×128 block-quant)</t>
  </si>
  <si>
    <t xml:space="preserve">activation dtype (analysis)</t>
  </si>
  <si>
    <t xml:space="preserve">BF16</t>
  </si>
  <si>
    <t xml:space="preserve">#</t>
  </si>
  <si>
    <t xml:space="preserve">Section</t>
  </si>
  <si>
    <t xml:space="preserve">Sub-layer / Phép tính</t>
  </si>
  <si>
    <t xml:space="preserve">Params (M)</t>
  </si>
  <si>
    <t xml:space="preserve">Repeats (per inference)</t>
  </si>
  <si>
    <t xml:space="preserve">FLOPs/token (MFLOPs)</t>
  </si>
  <si>
    <t xml:space="preserve">Weight bytes (MB)</t>
  </si>
  <si>
    <t xml:space="preserve">Arith. intensity (FLOPs/Byte)</t>
  </si>
  <si>
    <t xml:space="preserve">Notes / Ghi chú</t>
  </si>
  <si>
    <t xml:space="preserve">▶ Embedding (×1)</t>
  </si>
  <si>
    <t xml:space="preserve">Token embedding lookup (vocab×H, gather)</t>
  </si>
  <si>
    <t xml:space="preserve">   Subtotal — Embedding (×1)</t>
  </si>
  <si>
    <t xml:space="preserve">▶ Dense Transformer Block  (×3, layers 0..2)</t>
  </si>
  <si>
    <t xml:space="preserve">--- Pre-attn RMSNorm</t>
  </si>
  <si>
    <t xml:space="preserve">MLA q_a_proj  (H→q_lora)</t>
  </si>
  <si>
    <t xml:space="preserve">MLA q_b_proj  (q_lora→nH·d_qk)</t>
  </si>
  <si>
    <t xml:space="preserve">MLA kv_a_proj (H→kv_lora+rope)</t>
  </si>
  <si>
    <t xml:space="preserve">MLA latent compression: KV-cache stored as kv_lora + rope key (≈ 576 B/token vs 32K for vanilla MHA).</t>
  </si>
  <si>
    <t xml:space="preserve">MLA kv_b_proj (kv_lora→nH·(d_qk_nope+d_v))</t>
  </si>
  <si>
    <t xml:space="preserve">MLA o_proj    (nH·d_v→H)</t>
  </si>
  <si>
    <t xml:space="preserve">DSA wq_indexer (H→nH_idx·d_idx)</t>
  </si>
  <si>
    <t xml:space="preserve">DSA wk_indexer (H→d_idx_key)</t>
  </si>
  <si>
    <t xml:space="preserve">DSA score   (vs L=8192)</t>
  </si>
  <si>
    <t xml:space="preserve">L-dependent: scales linearly with context length L (here L=8192).</t>
  </si>
  <si>
    <t xml:space="preserve">DSA top-k select (O(L log k))</t>
  </si>
  <si>
    <t xml:space="preserve">Sparse MLA QK^T (nH·d_qk·k=2048)</t>
  </si>
  <si>
    <t xml:space="preserve">After DSA selects k=2048 tokens; replaces full O(L²) attention.</t>
  </si>
  <si>
    <t xml:space="preserve">Sparse MLA  AV  (nH·k·d_v)</t>
  </si>
  <si>
    <t xml:space="preserve">--- Post-attn RMSNorm</t>
  </si>
  <si>
    <t xml:space="preserve">FFN gate_proj (H→FFN)</t>
  </si>
  <si>
    <t xml:space="preserve">FFN up_proj   (H→FFN)</t>
  </si>
  <si>
    <t xml:space="preserve">FFN down_proj (FFN→H)</t>
  </si>
  <si>
    <t xml:space="preserve">   Subtotal — Dense Transformer Block  (×3, layers 0..2)</t>
  </si>
  <si>
    <t xml:space="preserve">▶ MoE Transformer Block  (×58, layers 3..60)</t>
  </si>
  <si>
    <t xml:space="preserve">MoE router    (H→N_exp=256)</t>
  </si>
  <si>
    <t xml:space="preserve">Always-on gating; top-k selection via sigmoid + group balancing.</t>
  </si>
  <si>
    <t xml:space="preserve">MoE shared expert ×1 (SwiGLU @2048)</t>
  </si>
  <si>
    <t xml:space="preserve">Always active for every token.</t>
  </si>
  <si>
    <t xml:space="preserve">MoE routed experts ×8 (top-k, SwiGLU @2048)</t>
  </si>
  <si>
    <t xml:space="preserve">Only top-8 of 256 routed experts fire per token.</t>
  </si>
  <si>
    <t xml:space="preserve">   Subtotal — MoE Transformer Block  (×58, layers 3..60)</t>
  </si>
  <si>
    <t xml:space="preserve">▶ LM Head (×1)</t>
  </si>
  <si>
    <t xml:space="preserve">LM head (H→vocab)</t>
  </si>
  <si>
    <t xml:space="preserve">   Subtotal — LM Head (×1)</t>
  </si>
  <si>
    <t xml:space="preserve">▶ MTP Head &amp; block (×1, optional at inference)</t>
  </si>
  <si>
    <t xml:space="preserve">MTP block ×1  (1 transformer + head, optional at inference)</t>
  </si>
  <si>
    <t xml:space="preserve">   Subtotal — MTP Head &amp; block (×1, optional at inference)</t>
  </si>
  <si>
    <t xml:space="preserve">★ GRAND TOTAL (decode, 1 token, L=8192, FP8 weights, BF16 act)</t>
  </si>
  <si>
    <t xml:space="preserve">Platform</t>
  </si>
  <si>
    <t xml:space="preserve">Peak FP8/INT8 (TOPS)</t>
  </si>
  <si>
    <t xml:space="preserve">Peak BF16 (TFLOPS)</t>
  </si>
  <si>
    <t xml:space="preserve">HBM BW (GB/s)</t>
  </si>
  <si>
    <t xml:space="preserve">Ridge point AI (FP8) FLOPs/B</t>
  </si>
  <si>
    <t xml:space="preserve">Decode roof tok/s (FP8, 1 user)</t>
  </si>
  <si>
    <t xml:space="preserve">Notes</t>
  </si>
  <si>
    <t xml:space="preserve">NVIDIA H100 SXM5 (1×)</t>
  </si>
  <si>
    <t xml:space="preserve">FP8 dense; HBM3</t>
  </si>
  <si>
    <t xml:space="preserve">NVIDIA H200 SXM (1×)</t>
  </si>
  <si>
    <t xml:space="preserve">FP8 dense; HBM3e</t>
  </si>
  <si>
    <t xml:space="preserve">NVIDIA B200 (1×)</t>
  </si>
  <si>
    <t xml:space="preserve">FP8 dense est.; HBM3e</t>
  </si>
  <si>
    <t xml:space="preserve">AMD MI300X (1×)</t>
  </si>
  <si>
    <t xml:space="preserve">FP8; HBM3</t>
  </si>
  <si>
    <t xml:space="preserve">AMD Alveo V80 (Versal HBM)</t>
  </si>
  <si>
    <t xml:space="preserve">BF16 via AI Engine; HBM2e</t>
  </si>
  <si>
    <t xml:space="preserve">AMD Alveo U280 (Virtex HBM)</t>
  </si>
  <si>
    <t xml:space="preserve">INT8 via DSP58; HBM2</t>
  </si>
  <si>
    <t xml:space="preserve">AMD VHK158 (Versal HBM)</t>
  </si>
  <si>
    <t xml:space="preserve">BF16 via AI Engine ML; HBM2e</t>
  </si>
  <si>
    <t xml:space="preserve">8×H100 NVL pod</t>
  </si>
  <si>
    <t xml:space="preserve">linear scaling upper bound (intra-pod)</t>
  </si>
  <si>
    <t xml:space="preserve">Per-layer arithmetic intensity (decode, batch=1, FP8 weights)</t>
  </si>
  <si>
    <t xml:space="preserve">Layer / op</t>
  </si>
  <si>
    <t xml:space="preserve">FLOPs/tok (M)</t>
  </si>
  <si>
    <t xml:space="preserve">Bytes/tok (M)</t>
  </si>
  <si>
    <t xml:space="preserve">AI (FLOPs/B)</t>
  </si>
  <si>
    <t xml:space="preserve">Regime (vs H100 ridge=590 F/B)</t>
  </si>
  <si>
    <t xml:space="preserve">MLA projections (per layer)</t>
  </si>
  <si>
    <t xml:space="preserve">memory-bound</t>
  </si>
  <si>
    <t xml:space="preserve">DSA indexer Q/K projections</t>
  </si>
  <si>
    <t xml:space="preserve">DSA scoring @ L=8192</t>
  </si>
  <si>
    <t xml:space="preserve">Sparse MLA attention (k=2048)</t>
  </si>
  <si>
    <t xml:space="preserve">Dense FFN (layers 0..2)</t>
  </si>
  <si>
    <t xml:space="preserve">MoE FFN — router</t>
  </si>
  <si>
    <t xml:space="preserve">MoE FFN — shared expert ×1</t>
  </si>
  <si>
    <t xml:space="preserve">MoE FFN — top-8 routed experts</t>
  </si>
  <si>
    <t xml:space="preserve">DeepSeek-V3.2 layer-wise FLOPs &amp; Roofline — Methodology</t>
  </si>
  <si>
    <t xml:space="preserve">1. Convention / Quy ước</t>
  </si>
  <si>
    <t xml:space="preserve">FLOPs/token là số phép multiply-accumulate (mỗi MAC = 2 ops) cho 1 token đi qua model forward, batch=1, decode.</t>
  </si>
  <si>
    <t xml:space="preserve">Params (M) = số trọng số của sub-layer; Repeats = số lần sub-layer xuất hiện trong 1 inference.</t>
  </si>
  <si>
    <t xml:space="preserve">Weight bytes giả định FP8 (1 B/param), activation BF16 (2 B/scalar). KV cache không tính vào weight bytes ở đây.</t>
  </si>
  <si>
    <t xml:space="preserve">2. Per-token matmul formula / Công thức matmul</t>
  </si>
  <si>
    <t xml:space="preserve">Cho ma trận trọng số W ∈ R^{in×out}, xử lý 1 token: FLOPs = 2·in·out, Bytes = in·out (FP8 weight read).</t>
  </si>
  <si>
    <t xml:space="preserve">Arithmetic Intensity AI = FLOPs / Bytes ≈ 2 (chỉ cho 1 token, weight read một lần).</t>
  </si>
  <si>
    <t xml:space="preserve">Khi batch B tăng, AI ≈ 2·B → bài toán dịch chuyển sang compute-bound.</t>
  </si>
  <si>
    <t xml:space="preserve">3. MLA per layer / Multi-head Latent Attention</t>
  </si>
  <si>
    <t xml:space="preserve">q_a_proj: H=7168 → q_lora=1536</t>
  </si>
  <si>
    <t xml:space="preserve">q_b_proj: q_lora=1536 → n_heads·(d_qk_nope+d_qk_rope) = 128·192 = 24576</t>
  </si>
  <si>
    <t xml:space="preserve">kv_a_proj: H=7168 → kv_lora+d_rope = 512+64 = 576</t>
  </si>
  <si>
    <t xml:space="preserve">kv_b_proj: kv_lora=512 → n_heads·(d_qk_nope+d_v) = 128·256 = 32768</t>
  </si>
  <si>
    <t xml:space="preserve">o_proj: n_heads·d_v = 16384 → H=7168</t>
  </si>
  <si>
    <t xml:space="preserve">KV-cache footprint per token = (kv_lora + d_rope) = 576 entries ≈ 1.13 KB BF16, vs ~64 KB cho vanilla MHA — giảm 56×.</t>
  </si>
  <si>
    <t xml:space="preserve">4. DSA — DeepSeek Sparse Attention</t>
  </si>
  <si>
    <t xml:space="preserve">Indexer: 64 heads × d=128 cho query; cache key 128-d per token (vs 512 của MLA).</t>
  </si>
  <si>
    <t xml:space="preserve">Indexer score: với mỗi token mới, compute 64×128·128 ops cho mỗi token đã có trong context → 16384·L FLOPs/token mỗi layer.</t>
  </si>
  <si>
    <t xml:space="preserve">Top-k = 2048 tokens được chọn; attention chính chạy chỉ trên k tokens này (Sparse MLA).</t>
  </si>
  <si>
    <t xml:space="preserve">Hệ quả: complexity O(L·k) thay vì O(L²); ở L=128K, DSA giảm attention compute ~32× so với full MLA.</t>
  </si>
  <si>
    <t xml:space="preserve">5. MoE FFN</t>
  </si>
  <si>
    <t xml:space="preserve">Mỗi MoE layer có 1 shared + 256 routed experts. Mỗi expert là SwiGLU với intermediate=2048.</t>
  </si>
  <si>
    <t xml:space="preserve">Top-k routed = 8 experts/token. Tổng active per token = 9 experts × 3 matmul × H × FFN_exp.</t>
  </si>
  <si>
    <t xml:space="preserve">Router (gating): H → 256, gần như free về compute (~3.67 MFLOPs).</t>
  </si>
  <si>
    <t xml:space="preserve">6. Roofline / Phân tích Roofline</t>
  </si>
  <si>
    <t xml:space="preserve">Ridge point AI_ridge = peak_TOPS / peak_BW (FLOPs/Byte). Trên H100 FP8: 1979 TOPS / 3.35 TB/s ≈ 590 FLOPs/Byte.</t>
  </si>
  <si>
    <t xml:space="preserve">Decode batch=1 cho DeepSeek-V3.2 có AI tổng ≈ 2 FLOPs/Byte → hoàn toàn memory-bound trên mọi nền tảng.</t>
  </si>
  <si>
    <t xml:space="preserve">Throughput trần (decode 1 user) = HBM_BW / active_weight_bytes ≈ HBM_BW / 40 GB.</t>
  </si>
  <si>
    <t xml:space="preserve">Để compute-bound, cần batch ≥ AI_ridge/2 ≈ 295 (H100 FP8). Đây là lý do FPGA edge inference thường chỉ phục vụ 1-2 user.</t>
  </si>
  <si>
    <t xml:space="preserve">7. Implications for FPGA accelerator design / Ý nghĩa cho thiết kế FPGA</t>
  </si>
  <si>
    <t xml:space="preserve">(a) Memory-bound decode → ưu tiên tối ưu HBM bandwidth (channel scheduling, burst length) hơn MAC density.</t>
  </si>
  <si>
    <t xml:space="preserve">(b) MoE: chỉ load 9/257 experts mỗi token → expert prefetch + on-chip expert cache (URAM/HBM tier) là then chốt.</t>
  </si>
  <si>
    <t xml:space="preserve">(c) MLA: KV cache nhỏ (576 B/token) → fits in BRAM cho L≤32K trên Versal HBM, giảm HBM access cho attention.</t>
  </si>
  <si>
    <t xml:space="preserve">(d) DSA indexer: workload mới — top-k selection trên L tokens. Có thể map lên AI Engine ML hoặc DSP58 array.</t>
  </si>
  <si>
    <t xml:space="preserve">(e) FP8 e4m3: cần DSP58 hoặc soft INT8 + scaling; Versal AIE-ML hỗ trợ INT8/BF16 natively, FP8 cần emulation.</t>
  </si>
  <si>
    <t xml:space="preserve">8. References (IEEE)</t>
  </si>
  <si>
    <t xml:space="preserve">[1] DeepSeek-AI, "DeepSeek-V3.2: Pushing the Frontier of Open Large Language Models," arXiv:2512.02556, 2025.</t>
  </si>
  <si>
    <t xml:space="preserve">[2] DeepSeek-AI, "DeepSeek-V3 Technical Report," arXiv:2412.19437, 2024.</t>
  </si>
  <si>
    <t xml:space="preserve">[3] DeepSeek-AI, "DeepSeek-V2," arXiv:2405.04434, 2024.</t>
  </si>
  <si>
    <t xml:space="preserve">[4] DeepSeek-AI, "DeepSeekMoE," arXiv:2401.06066, 2024.</t>
  </si>
  <si>
    <t xml:space="preserve">[5] S. Williams, A. Waterman, D. Patterson, "Roofline: an insightful visual performance model," CACM, vol. 52, no. 4, pp. 65-76, 2009.</t>
  </si>
  <si>
    <t xml:space="preserve">[6] NVIDIA, "H100 Tensor Core GPU Architecture Whitepaper," 2022.</t>
  </si>
  <si>
    <t xml:space="preserve">[7] AMD, "Versal HBM Series Product Brief," 2024.</t>
  </si>
  <si>
    <t xml:space="preserve">[8] vLLM Project, "DeepSeek Sparse Attention (DSA) implementation notes," 2025.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</si>
</sst>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&quot; B&quot;"/>
    <numFmt numFmtId="166" formatCode="#,##0.000&quot; GFLOPs&quot;"/>
    <numFmt numFmtId="167" formatCode="#,##0.000&quot; GB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E699"/>
        <bgColor rgb="FFFFFFCC"/>
      </patternFill>
    </fill>
    <fill>
      <patternFill patternType="solid">
        <fgColor rgb="FFFFC7CE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3" t="s">
        <v>6</v>
      </c>
      <c r="B4" s="2" t="n">
        <v>7168</v>
      </c>
    </row>
    <row r="5" customFormat="false" ht="15" hidden="false" customHeight="false" outlineLevel="0" collapsed="false">
      <c r="A5" s="2" t="s">
        <v>7</v>
      </c>
      <c r="B5" s="2" t="n">
        <v>18432</v>
      </c>
    </row>
    <row r="6" customFormat="false" ht="15" hidden="false" customHeight="false" outlineLevel="0" collapsed="false">
      <c r="A6" s="2" t="s">
        <v>8</v>
      </c>
      <c r="B6" s="2" t="n">
        <v>2048</v>
      </c>
    </row>
    <row r="7" customFormat="false" ht="15" hidden="false" customHeight="false" outlineLevel="0" collapsed="false">
      <c r="A7" s="2" t="s">
        <v>9</v>
      </c>
      <c r="B7" s="2" t="n">
        <v>61</v>
      </c>
    </row>
    <row r="8" customFormat="false" ht="15" hidden="false" customHeight="false" outlineLevel="0" collapsed="false">
      <c r="A8" s="2" t="s">
        <v>10</v>
      </c>
      <c r="B8" s="2" t="n">
        <v>3</v>
      </c>
    </row>
    <row r="9" customFormat="false" ht="15" hidden="false" customHeight="false" outlineLevel="0" collapsed="false">
      <c r="A9" s="2" t="s">
        <v>11</v>
      </c>
      <c r="B9" s="2" t="s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</row>
    <row r="11" customFormat="false" ht="15" hidden="false" customHeight="false" outlineLevel="0" collapsed="false">
      <c r="A11" s="3" t="s">
        <v>15</v>
      </c>
      <c r="B11" s="2" t="n">
        <v>128</v>
      </c>
    </row>
    <row r="12" customFormat="false" ht="15" hidden="false" customHeight="false" outlineLevel="0" collapsed="false">
      <c r="A12" s="2" t="s">
        <v>16</v>
      </c>
      <c r="B12" s="2" t="n">
        <v>128</v>
      </c>
    </row>
    <row r="13" customFormat="false" ht="15" hidden="false" customHeight="false" outlineLevel="0" collapsed="false">
      <c r="A13" s="2" t="s">
        <v>17</v>
      </c>
      <c r="B13" s="2" t="n">
        <v>1536</v>
      </c>
    </row>
    <row r="14" customFormat="false" ht="15" hidden="false" customHeight="false" outlineLevel="0" collapsed="false">
      <c r="A14" s="2" t="s">
        <v>18</v>
      </c>
      <c r="B14" s="2" t="n">
        <v>512</v>
      </c>
    </row>
    <row r="15" customFormat="false" ht="15" hidden="false" customHeight="false" outlineLevel="0" collapsed="false">
      <c r="A15" s="2" t="s">
        <v>19</v>
      </c>
      <c r="B15" s="2" t="n">
        <v>128</v>
      </c>
    </row>
    <row r="16" customFormat="false" ht="15" hidden="false" customHeight="false" outlineLevel="0" collapsed="false">
      <c r="A16" s="2" t="s">
        <v>20</v>
      </c>
      <c r="B16" s="2" t="n">
        <v>64</v>
      </c>
    </row>
    <row r="17" customFormat="false" ht="15" hidden="false" customHeight="false" outlineLevel="0" collapsed="false">
      <c r="A17" s="2" t="s">
        <v>21</v>
      </c>
      <c r="B17" s="2" t="n">
        <v>128</v>
      </c>
    </row>
    <row r="18" customFormat="false" ht="15" hidden="false" customHeight="false" outlineLevel="0" collapsed="false">
      <c r="A18" s="3" t="s">
        <v>22</v>
      </c>
      <c r="B18" s="2" t="n">
        <v>256</v>
      </c>
    </row>
    <row r="19" customFormat="false" ht="15" hidden="false" customHeight="false" outlineLevel="0" collapsed="false">
      <c r="A19" s="2" t="s">
        <v>23</v>
      </c>
      <c r="B19" s="2" t="n">
        <v>1</v>
      </c>
    </row>
    <row r="20" customFormat="false" ht="15" hidden="false" customHeight="false" outlineLevel="0" collapsed="false">
      <c r="A20" s="2" t="s">
        <v>24</v>
      </c>
      <c r="B20" s="2" t="n">
        <v>8</v>
      </c>
    </row>
    <row r="21" customFormat="false" ht="15" hidden="false" customHeight="false" outlineLevel="0" collapsed="false">
      <c r="A21" s="2" t="s">
        <v>25</v>
      </c>
      <c r="B21" s="2" t="s">
        <v>26</v>
      </c>
    </row>
    <row r="22" customFormat="false" ht="15" hidden="false" customHeight="false" outlineLevel="0" collapsed="false">
      <c r="A22" s="2" t="s">
        <v>27</v>
      </c>
      <c r="B22" s="2" t="n">
        <v>64</v>
      </c>
    </row>
    <row r="23" customFormat="false" ht="15" hidden="false" customHeight="false" outlineLevel="0" collapsed="false">
      <c r="A23" s="3" t="s">
        <v>28</v>
      </c>
      <c r="B23" s="2" t="n">
        <v>128</v>
      </c>
    </row>
    <row r="24" customFormat="false" ht="15" hidden="false" customHeight="false" outlineLevel="0" collapsed="false">
      <c r="A24" s="2" t="s">
        <v>29</v>
      </c>
      <c r="B24" s="2" t="n">
        <v>128</v>
      </c>
    </row>
    <row r="25" customFormat="false" ht="15" hidden="false" customHeight="false" outlineLevel="0" collapsed="false">
      <c r="A25" s="2" t="s">
        <v>30</v>
      </c>
      <c r="B25" s="2" t="n">
        <v>2048</v>
      </c>
    </row>
    <row r="26" customFormat="false" ht="15" hidden="false" customHeight="false" outlineLevel="0" collapsed="false">
      <c r="A26" s="2" t="s">
        <v>31</v>
      </c>
      <c r="B26" s="2" t="n">
        <v>129280</v>
      </c>
    </row>
    <row r="27" customFormat="false" ht="15" hidden="false" customHeight="false" outlineLevel="0" collapsed="false">
      <c r="A27" s="3" t="s">
        <v>32</v>
      </c>
      <c r="B27" s="2" t="n">
        <v>163840</v>
      </c>
    </row>
    <row r="28" customFormat="false" ht="15" hidden="false" customHeight="false" outlineLevel="0" collapsed="false">
      <c r="A28" s="2" t="s">
        <v>33</v>
      </c>
      <c r="B28" s="2" t="n">
        <v>1</v>
      </c>
    </row>
    <row r="29" customFormat="false" ht="15" hidden="false" customHeight="false" outlineLevel="0" collapsed="false">
      <c r="A29" s="2" t="s">
        <v>34</v>
      </c>
      <c r="B29" s="2" t="s">
        <v>35</v>
      </c>
    </row>
    <row r="30" customFormat="false" ht="15" hidden="false" customHeight="false" outlineLevel="0" collapsed="false">
      <c r="A30" s="2" t="s">
        <v>36</v>
      </c>
      <c r="B30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50"/>
  </cols>
  <sheetData>
    <row r="1" customFormat="false" ht="39.55" hidden="false" customHeight="false" outlineLevel="0" collapsed="false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</row>
    <row r="2" customFormat="false" ht="15" hidden="false" customHeight="false" outlineLevel="0" collapsed="false">
      <c r="A2" s="5"/>
      <c r="B2" s="6" t="s">
        <v>47</v>
      </c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2" t="n">
        <v>1</v>
      </c>
      <c r="B3" s="2"/>
      <c r="C3" s="2" t="s">
        <v>48</v>
      </c>
      <c r="D3" s="2" t="n">
        <v>926.679</v>
      </c>
      <c r="E3" s="2" t="n">
        <v>1</v>
      </c>
      <c r="F3" s="2" t="n">
        <v>0</v>
      </c>
      <c r="G3" s="2" t="n">
        <v>0.007</v>
      </c>
      <c r="H3" s="2" t="n">
        <v>0</v>
      </c>
      <c r="I3" s="2"/>
    </row>
    <row r="4" customFormat="false" ht="15" hidden="false" customHeight="false" outlineLevel="0" collapsed="false">
      <c r="A4" s="7"/>
      <c r="B4" s="7" t="s">
        <v>49</v>
      </c>
      <c r="C4" s="7"/>
      <c r="D4" s="7" t="n">
        <v>926.679</v>
      </c>
      <c r="E4" s="7" t="n">
        <v>1</v>
      </c>
      <c r="F4" s="7" t="n">
        <v>0</v>
      </c>
      <c r="G4" s="7" t="n">
        <v>0.007</v>
      </c>
      <c r="H4" s="7" t="n">
        <v>0</v>
      </c>
      <c r="I4" s="7"/>
    </row>
    <row r="5" customFormat="false" ht="15" hidden="false" customHeight="false" outlineLevel="0" collapsed="false">
      <c r="A5" s="5"/>
      <c r="B5" s="6" t="s">
        <v>50</v>
      </c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2" t="n">
        <v>2</v>
      </c>
      <c r="B6" s="2"/>
      <c r="C6" s="2" t="s">
        <v>51</v>
      </c>
      <c r="D6" s="2" t="n">
        <v>0.014</v>
      </c>
      <c r="E6" s="2" t="n">
        <v>3</v>
      </c>
      <c r="F6" s="2" t="n">
        <v>0.029</v>
      </c>
      <c r="G6" s="2" t="n">
        <v>0</v>
      </c>
      <c r="H6" s="2" t="n">
        <v>0</v>
      </c>
      <c r="I6" s="2"/>
    </row>
    <row r="7" customFormat="false" ht="15" hidden="false" customHeight="false" outlineLevel="0" collapsed="false">
      <c r="A7" s="2" t="n">
        <v>3</v>
      </c>
      <c r="B7" s="2"/>
      <c r="C7" s="2" t="s">
        <v>52</v>
      </c>
      <c r="D7" s="2" t="n">
        <v>11.01</v>
      </c>
      <c r="E7" s="2" t="n">
        <v>3</v>
      </c>
      <c r="F7" s="2" t="n">
        <v>22.02</v>
      </c>
      <c r="G7" s="2" t="n">
        <v>11.01</v>
      </c>
      <c r="H7" s="2" t="n">
        <v>2</v>
      </c>
      <c r="I7" s="2"/>
    </row>
    <row r="8" customFormat="false" ht="15" hidden="false" customHeight="false" outlineLevel="0" collapsed="false">
      <c r="A8" s="2" t="n">
        <v>4</v>
      </c>
      <c r="B8" s="2"/>
      <c r="C8" s="2" t="s">
        <v>53</v>
      </c>
      <c r="D8" s="2" t="n">
        <v>37.749</v>
      </c>
      <c r="E8" s="2" t="n">
        <v>3</v>
      </c>
      <c r="F8" s="2" t="n">
        <v>75.497</v>
      </c>
      <c r="G8" s="2" t="n">
        <v>37.749</v>
      </c>
      <c r="H8" s="2" t="n">
        <v>2</v>
      </c>
      <c r="I8" s="2"/>
    </row>
    <row r="9" customFormat="false" ht="15" hidden="false" customHeight="false" outlineLevel="0" collapsed="false">
      <c r="A9" s="2" t="n">
        <v>5</v>
      </c>
      <c r="B9" s="2"/>
      <c r="C9" s="2" t="s">
        <v>54</v>
      </c>
      <c r="D9" s="2" t="n">
        <v>4.129</v>
      </c>
      <c r="E9" s="2" t="n">
        <v>3</v>
      </c>
      <c r="F9" s="2" t="n">
        <v>8.258</v>
      </c>
      <c r="G9" s="2" t="n">
        <v>4.129</v>
      </c>
      <c r="H9" s="2" t="n">
        <v>2</v>
      </c>
      <c r="I9" s="2" t="s">
        <v>55</v>
      </c>
    </row>
    <row r="10" customFormat="false" ht="15" hidden="false" customHeight="false" outlineLevel="0" collapsed="false">
      <c r="A10" s="2" t="n">
        <v>6</v>
      </c>
      <c r="B10" s="2"/>
      <c r="C10" s="2" t="s">
        <v>56</v>
      </c>
      <c r="D10" s="2" t="n">
        <v>16.777</v>
      </c>
      <c r="E10" s="2" t="n">
        <v>3</v>
      </c>
      <c r="F10" s="2" t="n">
        <v>33.554</v>
      </c>
      <c r="G10" s="2" t="n">
        <v>16.777</v>
      </c>
      <c r="H10" s="2" t="n">
        <v>2</v>
      </c>
      <c r="I10" s="2" t="s">
        <v>55</v>
      </c>
    </row>
    <row r="11" customFormat="false" ht="15" hidden="false" customHeight="false" outlineLevel="0" collapsed="false">
      <c r="A11" s="2" t="n">
        <v>7</v>
      </c>
      <c r="B11" s="2"/>
      <c r="C11" s="2" t="s">
        <v>57</v>
      </c>
      <c r="D11" s="2" t="n">
        <v>117.441</v>
      </c>
      <c r="E11" s="2" t="n">
        <v>3</v>
      </c>
      <c r="F11" s="2" t="n">
        <v>234.881</v>
      </c>
      <c r="G11" s="2" t="n">
        <v>117.441</v>
      </c>
      <c r="H11" s="2" t="n">
        <v>2</v>
      </c>
      <c r="I11" s="2"/>
    </row>
    <row r="12" customFormat="false" ht="15" hidden="false" customHeight="false" outlineLevel="0" collapsed="false">
      <c r="A12" s="2" t="n">
        <v>8</v>
      </c>
      <c r="B12" s="2"/>
      <c r="C12" s="2" t="s">
        <v>58</v>
      </c>
      <c r="D12" s="2" t="n">
        <v>58.72</v>
      </c>
      <c r="E12" s="2" t="n">
        <v>3</v>
      </c>
      <c r="F12" s="2" t="n">
        <v>117.441</v>
      </c>
      <c r="G12" s="2" t="n">
        <v>58.72</v>
      </c>
      <c r="H12" s="2" t="n">
        <v>2</v>
      </c>
      <c r="I12" s="2"/>
    </row>
    <row r="13" customFormat="false" ht="15" hidden="false" customHeight="false" outlineLevel="0" collapsed="false">
      <c r="A13" s="2" t="n">
        <v>9</v>
      </c>
      <c r="B13" s="2"/>
      <c r="C13" s="2" t="s">
        <v>59</v>
      </c>
      <c r="D13" s="2" t="n">
        <v>0.918</v>
      </c>
      <c r="E13" s="2" t="n">
        <v>3</v>
      </c>
      <c r="F13" s="2" t="n">
        <v>1.835</v>
      </c>
      <c r="G13" s="2" t="n">
        <v>0.918</v>
      </c>
      <c r="H13" s="2" t="n">
        <v>2</v>
      </c>
      <c r="I13" s="2"/>
    </row>
    <row r="14" customFormat="false" ht="15" hidden="false" customHeight="false" outlineLevel="0" collapsed="false">
      <c r="A14" s="2" t="n">
        <v>10</v>
      </c>
      <c r="B14" s="2"/>
      <c r="C14" s="2" t="s">
        <v>60</v>
      </c>
      <c r="D14" s="2" t="n">
        <v>0</v>
      </c>
      <c r="E14" s="2" t="n">
        <v>3</v>
      </c>
      <c r="F14" s="2" t="n">
        <v>134.218</v>
      </c>
      <c r="G14" s="2" t="n">
        <v>1.049</v>
      </c>
      <c r="H14" s="2" t="n">
        <v>128</v>
      </c>
      <c r="I14" s="2" t="s">
        <v>61</v>
      </c>
    </row>
    <row r="15" customFormat="false" ht="15" hidden="false" customHeight="false" outlineLevel="0" collapsed="false">
      <c r="A15" s="2" t="n">
        <v>11</v>
      </c>
      <c r="B15" s="2"/>
      <c r="C15" s="2" t="s">
        <v>62</v>
      </c>
      <c r="D15" s="2" t="n">
        <v>0</v>
      </c>
      <c r="E15" s="2" t="n">
        <v>3</v>
      </c>
      <c r="F15" s="2" t="n">
        <v>0</v>
      </c>
      <c r="G15" s="2" t="n">
        <v>0</v>
      </c>
      <c r="H15" s="2" t="n">
        <v>0</v>
      </c>
      <c r="I15" s="2"/>
    </row>
    <row r="16" customFormat="false" ht="15" hidden="false" customHeight="false" outlineLevel="0" collapsed="false">
      <c r="A16" s="2" t="n">
        <v>12</v>
      </c>
      <c r="B16" s="2"/>
      <c r="C16" s="2" t="s">
        <v>63</v>
      </c>
      <c r="D16" s="2" t="n">
        <v>0</v>
      </c>
      <c r="E16" s="2" t="n">
        <v>3</v>
      </c>
      <c r="F16" s="2" t="n">
        <v>100.663</v>
      </c>
      <c r="G16" s="2" t="n">
        <v>50.332</v>
      </c>
      <c r="H16" s="2" t="n">
        <v>2</v>
      </c>
      <c r="I16" s="2" t="s">
        <v>64</v>
      </c>
    </row>
    <row r="17" customFormat="false" ht="15" hidden="false" customHeight="false" outlineLevel="0" collapsed="false">
      <c r="A17" s="2" t="n">
        <v>13</v>
      </c>
      <c r="B17" s="2"/>
      <c r="C17" s="2" t="s">
        <v>65</v>
      </c>
      <c r="D17" s="2" t="n">
        <v>0</v>
      </c>
      <c r="E17" s="2" t="n">
        <v>3</v>
      </c>
      <c r="F17" s="2" t="n">
        <v>67.109</v>
      </c>
      <c r="G17" s="2" t="n">
        <v>33.554</v>
      </c>
      <c r="H17" s="2" t="n">
        <v>2</v>
      </c>
      <c r="I17" s="2" t="s">
        <v>64</v>
      </c>
    </row>
    <row r="18" customFormat="false" ht="15" hidden="false" customHeight="false" outlineLevel="0" collapsed="false">
      <c r="A18" s="2" t="n">
        <v>14</v>
      </c>
      <c r="B18" s="2"/>
      <c r="C18" s="2" t="s">
        <v>66</v>
      </c>
      <c r="D18" s="2" t="n">
        <v>0.014</v>
      </c>
      <c r="E18" s="2" t="n">
        <v>3</v>
      </c>
      <c r="F18" s="2" t="n">
        <v>0.029</v>
      </c>
      <c r="G18" s="2" t="n">
        <v>0</v>
      </c>
      <c r="H18" s="2" t="n">
        <v>0</v>
      </c>
      <c r="I18" s="2"/>
    </row>
    <row r="19" customFormat="false" ht="15" hidden="false" customHeight="false" outlineLevel="0" collapsed="false">
      <c r="A19" s="2" t="n">
        <v>15</v>
      </c>
      <c r="B19" s="2"/>
      <c r="C19" s="2" t="s">
        <v>67</v>
      </c>
      <c r="D19" s="2" t="n">
        <v>132.121</v>
      </c>
      <c r="E19" s="2" t="n">
        <v>3</v>
      </c>
      <c r="F19" s="2" t="n">
        <v>264.241</v>
      </c>
      <c r="G19" s="2" t="n">
        <v>132.121</v>
      </c>
      <c r="H19" s="2" t="n">
        <v>2</v>
      </c>
      <c r="I19" s="2"/>
    </row>
    <row r="20" customFormat="false" ht="15" hidden="false" customHeight="false" outlineLevel="0" collapsed="false">
      <c r="A20" s="2" t="n">
        <v>16</v>
      </c>
      <c r="B20" s="2"/>
      <c r="C20" s="2" t="s">
        <v>68</v>
      </c>
      <c r="D20" s="2" t="n">
        <v>132.121</v>
      </c>
      <c r="E20" s="2" t="n">
        <v>3</v>
      </c>
      <c r="F20" s="2" t="n">
        <v>264.241</v>
      </c>
      <c r="G20" s="2" t="n">
        <v>132.121</v>
      </c>
      <c r="H20" s="2" t="n">
        <v>2</v>
      </c>
      <c r="I20" s="2"/>
    </row>
    <row r="21" customFormat="false" ht="15" hidden="false" customHeight="false" outlineLevel="0" collapsed="false">
      <c r="A21" s="2" t="n">
        <v>17</v>
      </c>
      <c r="B21" s="2"/>
      <c r="C21" s="2" t="s">
        <v>69</v>
      </c>
      <c r="D21" s="2" t="n">
        <v>132.121</v>
      </c>
      <c r="E21" s="2" t="n">
        <v>3</v>
      </c>
      <c r="F21" s="2" t="n">
        <v>264.241</v>
      </c>
      <c r="G21" s="2" t="n">
        <v>132.121</v>
      </c>
      <c r="H21" s="2" t="n">
        <v>2</v>
      </c>
      <c r="I21" s="2"/>
    </row>
    <row r="22" customFormat="false" ht="15" hidden="false" customHeight="false" outlineLevel="0" collapsed="false">
      <c r="A22" s="7"/>
      <c r="B22" s="7" t="s">
        <v>70</v>
      </c>
      <c r="C22" s="7"/>
      <c r="D22" s="7" t="n">
        <v>1929.4</v>
      </c>
      <c r="E22" s="7" t="n">
        <v>3</v>
      </c>
      <c r="F22" s="7" t="n">
        <v>4764.77</v>
      </c>
      <c r="G22" s="7" t="n">
        <v>2184.118</v>
      </c>
      <c r="H22" s="7" t="n">
        <v>2.182</v>
      </c>
      <c r="I22" s="7"/>
    </row>
    <row r="23" customFormat="false" ht="15" hidden="false" customHeight="false" outlineLevel="0" collapsed="false">
      <c r="A23" s="5"/>
      <c r="B23" s="6" t="s">
        <v>71</v>
      </c>
      <c r="C23" s="5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2" t="n">
        <v>18</v>
      </c>
      <c r="B24" s="2"/>
      <c r="C24" s="2" t="s">
        <v>51</v>
      </c>
      <c r="D24" s="2" t="n">
        <v>0.014</v>
      </c>
      <c r="E24" s="2" t="n">
        <v>58</v>
      </c>
      <c r="F24" s="2" t="n">
        <v>0.029</v>
      </c>
      <c r="G24" s="2" t="n">
        <v>0</v>
      </c>
      <c r="H24" s="2" t="n">
        <v>0</v>
      </c>
      <c r="I24" s="2"/>
    </row>
    <row r="25" customFormat="false" ht="15" hidden="false" customHeight="false" outlineLevel="0" collapsed="false">
      <c r="A25" s="2" t="n">
        <v>19</v>
      </c>
      <c r="B25" s="2"/>
      <c r="C25" s="2" t="s">
        <v>52</v>
      </c>
      <c r="D25" s="2" t="n">
        <v>11.01</v>
      </c>
      <c r="E25" s="2" t="n">
        <v>58</v>
      </c>
      <c r="F25" s="2" t="n">
        <v>22.02</v>
      </c>
      <c r="G25" s="2" t="n">
        <v>11.01</v>
      </c>
      <c r="H25" s="2" t="n">
        <v>2</v>
      </c>
      <c r="I25" s="2"/>
    </row>
    <row r="26" customFormat="false" ht="15" hidden="false" customHeight="false" outlineLevel="0" collapsed="false">
      <c r="A26" s="2" t="n">
        <v>20</v>
      </c>
      <c r="B26" s="2"/>
      <c r="C26" s="2" t="s">
        <v>53</v>
      </c>
      <c r="D26" s="2" t="n">
        <v>37.749</v>
      </c>
      <c r="E26" s="2" t="n">
        <v>58</v>
      </c>
      <c r="F26" s="2" t="n">
        <v>75.497</v>
      </c>
      <c r="G26" s="2" t="n">
        <v>37.749</v>
      </c>
      <c r="H26" s="2" t="n">
        <v>2</v>
      </c>
      <c r="I26" s="2"/>
    </row>
    <row r="27" customFormat="false" ht="15" hidden="false" customHeight="false" outlineLevel="0" collapsed="false">
      <c r="A27" s="2" t="n">
        <v>21</v>
      </c>
      <c r="B27" s="2"/>
      <c r="C27" s="2" t="s">
        <v>54</v>
      </c>
      <c r="D27" s="2" t="n">
        <v>4.129</v>
      </c>
      <c r="E27" s="2" t="n">
        <v>58</v>
      </c>
      <c r="F27" s="2" t="n">
        <v>8.258</v>
      </c>
      <c r="G27" s="2" t="n">
        <v>4.129</v>
      </c>
      <c r="H27" s="2" t="n">
        <v>2</v>
      </c>
      <c r="I27" s="2" t="s">
        <v>55</v>
      </c>
    </row>
    <row r="28" customFormat="false" ht="15" hidden="false" customHeight="false" outlineLevel="0" collapsed="false">
      <c r="A28" s="2" t="n">
        <v>22</v>
      </c>
      <c r="B28" s="2"/>
      <c r="C28" s="2" t="s">
        <v>56</v>
      </c>
      <c r="D28" s="2" t="n">
        <v>16.777</v>
      </c>
      <c r="E28" s="2" t="n">
        <v>58</v>
      </c>
      <c r="F28" s="2" t="n">
        <v>33.554</v>
      </c>
      <c r="G28" s="2" t="n">
        <v>16.777</v>
      </c>
      <c r="H28" s="2" t="n">
        <v>2</v>
      </c>
      <c r="I28" s="2" t="s">
        <v>55</v>
      </c>
    </row>
    <row r="29" customFormat="false" ht="15" hidden="false" customHeight="false" outlineLevel="0" collapsed="false">
      <c r="A29" s="2" t="n">
        <v>23</v>
      </c>
      <c r="B29" s="2"/>
      <c r="C29" s="2" t="s">
        <v>57</v>
      </c>
      <c r="D29" s="2" t="n">
        <v>117.441</v>
      </c>
      <c r="E29" s="2" t="n">
        <v>58</v>
      </c>
      <c r="F29" s="2" t="n">
        <v>234.881</v>
      </c>
      <c r="G29" s="2" t="n">
        <v>117.441</v>
      </c>
      <c r="H29" s="2" t="n">
        <v>2</v>
      </c>
      <c r="I29" s="2"/>
    </row>
    <row r="30" customFormat="false" ht="15" hidden="false" customHeight="false" outlineLevel="0" collapsed="false">
      <c r="A30" s="2" t="n">
        <v>24</v>
      </c>
      <c r="B30" s="2"/>
      <c r="C30" s="2" t="s">
        <v>58</v>
      </c>
      <c r="D30" s="2" t="n">
        <v>58.72</v>
      </c>
      <c r="E30" s="2" t="n">
        <v>58</v>
      </c>
      <c r="F30" s="2" t="n">
        <v>117.441</v>
      </c>
      <c r="G30" s="2" t="n">
        <v>58.72</v>
      </c>
      <c r="H30" s="2" t="n">
        <v>2</v>
      </c>
      <c r="I30" s="2"/>
    </row>
    <row r="31" customFormat="false" ht="15" hidden="false" customHeight="false" outlineLevel="0" collapsed="false">
      <c r="A31" s="2" t="n">
        <v>25</v>
      </c>
      <c r="B31" s="2"/>
      <c r="C31" s="2" t="s">
        <v>59</v>
      </c>
      <c r="D31" s="2" t="n">
        <v>0.918</v>
      </c>
      <c r="E31" s="2" t="n">
        <v>58</v>
      </c>
      <c r="F31" s="2" t="n">
        <v>1.835</v>
      </c>
      <c r="G31" s="2" t="n">
        <v>0.918</v>
      </c>
      <c r="H31" s="2" t="n">
        <v>2</v>
      </c>
      <c r="I31" s="2"/>
    </row>
    <row r="32" customFormat="false" ht="15" hidden="false" customHeight="false" outlineLevel="0" collapsed="false">
      <c r="A32" s="2" t="n">
        <v>26</v>
      </c>
      <c r="B32" s="2"/>
      <c r="C32" s="2" t="s">
        <v>60</v>
      </c>
      <c r="D32" s="2" t="n">
        <v>0</v>
      </c>
      <c r="E32" s="2" t="n">
        <v>58</v>
      </c>
      <c r="F32" s="2" t="n">
        <v>134.218</v>
      </c>
      <c r="G32" s="2" t="n">
        <v>1.049</v>
      </c>
      <c r="H32" s="2" t="n">
        <v>128</v>
      </c>
      <c r="I32" s="2" t="s">
        <v>61</v>
      </c>
    </row>
    <row r="33" customFormat="false" ht="15" hidden="false" customHeight="false" outlineLevel="0" collapsed="false">
      <c r="A33" s="2" t="n">
        <v>27</v>
      </c>
      <c r="B33" s="2"/>
      <c r="C33" s="2" t="s">
        <v>62</v>
      </c>
      <c r="D33" s="2" t="n">
        <v>0</v>
      </c>
      <c r="E33" s="2" t="n">
        <v>58</v>
      </c>
      <c r="F33" s="2" t="n">
        <v>0</v>
      </c>
      <c r="G33" s="2" t="n">
        <v>0</v>
      </c>
      <c r="H33" s="2" t="n">
        <v>0</v>
      </c>
      <c r="I33" s="2"/>
    </row>
    <row r="34" customFormat="false" ht="15" hidden="false" customHeight="false" outlineLevel="0" collapsed="false">
      <c r="A34" s="2" t="n">
        <v>28</v>
      </c>
      <c r="B34" s="2"/>
      <c r="C34" s="2" t="s">
        <v>63</v>
      </c>
      <c r="D34" s="2" t="n">
        <v>0</v>
      </c>
      <c r="E34" s="2" t="n">
        <v>58</v>
      </c>
      <c r="F34" s="2" t="n">
        <v>100.663</v>
      </c>
      <c r="G34" s="2" t="n">
        <v>50.332</v>
      </c>
      <c r="H34" s="2" t="n">
        <v>2</v>
      </c>
      <c r="I34" s="2" t="s">
        <v>64</v>
      </c>
    </row>
    <row r="35" customFormat="false" ht="15" hidden="false" customHeight="false" outlineLevel="0" collapsed="false">
      <c r="A35" s="2" t="n">
        <v>29</v>
      </c>
      <c r="B35" s="2"/>
      <c r="C35" s="2" t="s">
        <v>65</v>
      </c>
      <c r="D35" s="2" t="n">
        <v>0</v>
      </c>
      <c r="E35" s="2" t="n">
        <v>58</v>
      </c>
      <c r="F35" s="2" t="n">
        <v>67.109</v>
      </c>
      <c r="G35" s="2" t="n">
        <v>33.554</v>
      </c>
      <c r="H35" s="2" t="n">
        <v>2</v>
      </c>
      <c r="I35" s="2" t="s">
        <v>64</v>
      </c>
    </row>
    <row r="36" customFormat="false" ht="15" hidden="false" customHeight="false" outlineLevel="0" collapsed="false">
      <c r="A36" s="2" t="n">
        <v>30</v>
      </c>
      <c r="B36" s="2"/>
      <c r="C36" s="2" t="s">
        <v>66</v>
      </c>
      <c r="D36" s="2" t="n">
        <v>0.014</v>
      </c>
      <c r="E36" s="2" t="n">
        <v>58</v>
      </c>
      <c r="F36" s="2" t="n">
        <v>0.029</v>
      </c>
      <c r="G36" s="2" t="n">
        <v>0</v>
      </c>
      <c r="H36" s="2" t="n">
        <v>0</v>
      </c>
      <c r="I36" s="2"/>
    </row>
    <row r="37" customFormat="false" ht="15" hidden="false" customHeight="false" outlineLevel="0" collapsed="false">
      <c r="A37" s="2" t="n">
        <v>31</v>
      </c>
      <c r="B37" s="2"/>
      <c r="C37" s="2" t="s">
        <v>72</v>
      </c>
      <c r="D37" s="2" t="n">
        <v>1.835</v>
      </c>
      <c r="E37" s="2" t="n">
        <v>58</v>
      </c>
      <c r="F37" s="2" t="n">
        <v>3.67</v>
      </c>
      <c r="G37" s="2" t="n">
        <v>1.835</v>
      </c>
      <c r="H37" s="2" t="n">
        <v>2</v>
      </c>
      <c r="I37" s="2" t="s">
        <v>73</v>
      </c>
    </row>
    <row r="38" customFormat="false" ht="15" hidden="false" customHeight="false" outlineLevel="0" collapsed="false">
      <c r="A38" s="2" t="n">
        <v>32</v>
      </c>
      <c r="B38" s="2"/>
      <c r="C38" s="2" t="s">
        <v>74</v>
      </c>
      <c r="D38" s="2" t="n">
        <v>44.04</v>
      </c>
      <c r="E38" s="2" t="n">
        <v>58</v>
      </c>
      <c r="F38" s="2" t="n">
        <v>88.08</v>
      </c>
      <c r="G38" s="2" t="n">
        <v>44.04</v>
      </c>
      <c r="H38" s="2" t="n">
        <v>2</v>
      </c>
      <c r="I38" s="2" t="s">
        <v>75</v>
      </c>
    </row>
    <row r="39" customFormat="false" ht="15" hidden="false" customHeight="false" outlineLevel="0" collapsed="false">
      <c r="A39" s="2" t="n">
        <v>33</v>
      </c>
      <c r="B39" s="2"/>
      <c r="C39" s="2" t="s">
        <v>76</v>
      </c>
      <c r="D39" s="2" t="n">
        <v>352.322</v>
      </c>
      <c r="E39" s="2" t="n">
        <v>58</v>
      </c>
      <c r="F39" s="2" t="n">
        <v>704.643</v>
      </c>
      <c r="G39" s="2" t="n">
        <v>352.322</v>
      </c>
      <c r="H39" s="2" t="n">
        <v>2</v>
      </c>
      <c r="I39" s="2" t="s">
        <v>77</v>
      </c>
    </row>
    <row r="40" customFormat="false" ht="15" hidden="false" customHeight="false" outlineLevel="0" collapsed="false">
      <c r="A40" s="7"/>
      <c r="B40" s="7" t="s">
        <v>78</v>
      </c>
      <c r="C40" s="7"/>
      <c r="D40" s="7" t="n">
        <v>37408.17</v>
      </c>
      <c r="E40" s="7" t="n">
        <v>58</v>
      </c>
      <c r="F40" s="7" t="n">
        <v>92331.753</v>
      </c>
      <c r="G40" s="7" t="n">
        <v>42332.717</v>
      </c>
      <c r="H40" s="7" t="n">
        <v>2.181</v>
      </c>
      <c r="I40" s="7"/>
    </row>
    <row r="41" customFormat="false" ht="15" hidden="false" customHeight="false" outlineLevel="0" collapsed="false">
      <c r="A41" s="5"/>
      <c r="B41" s="6" t="s">
        <v>79</v>
      </c>
      <c r="C41" s="5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A42" s="2" t="n">
        <v>34</v>
      </c>
      <c r="B42" s="2"/>
      <c r="C42" s="2" t="s">
        <v>80</v>
      </c>
      <c r="D42" s="2" t="n">
        <v>926.679</v>
      </c>
      <c r="E42" s="2" t="n">
        <v>1</v>
      </c>
      <c r="F42" s="2" t="n">
        <v>1853.358</v>
      </c>
      <c r="G42" s="2" t="n">
        <v>926.679</v>
      </c>
      <c r="H42" s="2" t="n">
        <v>2</v>
      </c>
      <c r="I42" s="2"/>
    </row>
    <row r="43" customFormat="false" ht="15" hidden="false" customHeight="false" outlineLevel="0" collapsed="false">
      <c r="A43" s="7"/>
      <c r="B43" s="7" t="s">
        <v>81</v>
      </c>
      <c r="C43" s="7"/>
      <c r="D43" s="7" t="n">
        <v>926.679</v>
      </c>
      <c r="E43" s="7" t="n">
        <v>1</v>
      </c>
      <c r="F43" s="7" t="n">
        <v>1853.358</v>
      </c>
      <c r="G43" s="7" t="n">
        <v>926.679</v>
      </c>
      <c r="H43" s="7" t="n">
        <v>2</v>
      </c>
      <c r="I43" s="7"/>
    </row>
    <row r="44" customFormat="false" ht="15" hidden="false" customHeight="false" outlineLevel="0" collapsed="false">
      <c r="A44" s="5"/>
      <c r="B44" s="6" t="s">
        <v>82</v>
      </c>
      <c r="C44" s="5"/>
      <c r="D44" s="5"/>
      <c r="E44" s="5"/>
      <c r="F44" s="5"/>
      <c r="G44" s="5"/>
      <c r="H44" s="5"/>
      <c r="I44" s="5"/>
    </row>
    <row r="45" customFormat="false" ht="15" hidden="false" customHeight="false" outlineLevel="0" collapsed="false">
      <c r="A45" s="2" t="n">
        <v>35</v>
      </c>
      <c r="B45" s="2"/>
      <c r="C45" s="2" t="s">
        <v>83</v>
      </c>
      <c r="D45" s="2" t="n">
        <v>1571.647</v>
      </c>
      <c r="E45" s="2" t="n">
        <v>1</v>
      </c>
      <c r="F45" s="2" t="n">
        <v>3445.285</v>
      </c>
      <c r="G45" s="2" t="n">
        <v>1656.553</v>
      </c>
      <c r="H45" s="2" t="n">
        <v>2.08</v>
      </c>
      <c r="I45" s="2"/>
    </row>
    <row r="46" customFormat="false" ht="15" hidden="false" customHeight="false" outlineLevel="0" collapsed="false">
      <c r="A46" s="7"/>
      <c r="B46" s="7" t="s">
        <v>84</v>
      </c>
      <c r="C46" s="7"/>
      <c r="D46" s="7" t="n">
        <v>1571.647</v>
      </c>
      <c r="E46" s="7" t="n">
        <v>1</v>
      </c>
      <c r="F46" s="7" t="n">
        <v>3445.285</v>
      </c>
      <c r="G46" s="7" t="n">
        <v>1656.553</v>
      </c>
      <c r="H46" s="7" t="n">
        <v>2.08</v>
      </c>
      <c r="I46" s="7"/>
    </row>
    <row r="47" customFormat="false" ht="15" hidden="false" customHeight="false" outlineLevel="0" collapsed="false">
      <c r="A47" s="8"/>
      <c r="B47" s="9" t="s">
        <v>85</v>
      </c>
      <c r="C47" s="8"/>
      <c r="D47" s="10" t="n">
        <v>42.763</v>
      </c>
      <c r="E47" s="8"/>
      <c r="F47" s="11" t="n">
        <v>102.395</v>
      </c>
      <c r="G47" s="12" t="n">
        <v>47.1</v>
      </c>
      <c r="H47" s="8" t="n">
        <v>2.174</v>
      </c>
      <c r="I4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6" min="5" style="0" width="30"/>
    <col collapsed="false" customWidth="true" hidden="false" outlineLevel="0" max="7" min="7" style="0" width="40"/>
  </cols>
  <sheetData>
    <row r="1" customFormat="false" ht="26.85" hidden="false" customHeight="false" outlineLevel="0" collapsed="false">
      <c r="A1" s="13" t="s">
        <v>86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</row>
    <row r="2" customFormat="false" ht="15" hidden="false" customHeight="false" outlineLevel="0" collapsed="false">
      <c r="A2" s="2" t="s">
        <v>93</v>
      </c>
      <c r="B2" s="2" t="n">
        <v>1979</v>
      </c>
      <c r="C2" s="2" t="n">
        <v>989</v>
      </c>
      <c r="D2" s="2" t="n">
        <v>3350</v>
      </c>
      <c r="E2" s="2" t="n">
        <f aca="false">B2*1000/D2</f>
        <v>590.746268656716</v>
      </c>
      <c r="F2" s="2" t="n">
        <f aca="false">D2/47.1001</f>
        <v>71.1251143840459</v>
      </c>
      <c r="G2" s="2" t="s">
        <v>94</v>
      </c>
    </row>
    <row r="3" customFormat="false" ht="15" hidden="false" customHeight="false" outlineLevel="0" collapsed="false">
      <c r="A3" s="2" t="s">
        <v>95</v>
      </c>
      <c r="B3" s="2" t="n">
        <v>1979</v>
      </c>
      <c r="C3" s="2" t="n">
        <v>989</v>
      </c>
      <c r="D3" s="2" t="n">
        <v>4800</v>
      </c>
      <c r="E3" s="2" t="n">
        <f aca="false">B3*1000/D3</f>
        <v>412.291666666667</v>
      </c>
      <c r="F3" s="2" t="n">
        <f aca="false">D3/47.1001</f>
        <v>101.910611654752</v>
      </c>
      <c r="G3" s="2" t="s">
        <v>96</v>
      </c>
    </row>
    <row r="4" customFormat="false" ht="15" hidden="false" customHeight="false" outlineLevel="0" collapsed="false">
      <c r="A4" s="2" t="s">
        <v>97</v>
      </c>
      <c r="B4" s="2" t="n">
        <v>4500</v>
      </c>
      <c r="C4" s="2" t="n">
        <v>2250</v>
      </c>
      <c r="D4" s="2" t="n">
        <v>8000</v>
      </c>
      <c r="E4" s="2" t="n">
        <f aca="false">B4*1000/D4</f>
        <v>562.5</v>
      </c>
      <c r="F4" s="2" t="n">
        <f aca="false">D4/47.1001</f>
        <v>169.851019424587</v>
      </c>
      <c r="G4" s="2" t="s">
        <v>98</v>
      </c>
    </row>
    <row r="5" customFormat="false" ht="15" hidden="false" customHeight="false" outlineLevel="0" collapsed="false">
      <c r="A5" s="2" t="s">
        <v>99</v>
      </c>
      <c r="B5" s="2" t="n">
        <v>2614</v>
      </c>
      <c r="C5" s="2" t="n">
        <v>1307</v>
      </c>
      <c r="D5" s="2" t="n">
        <v>5300</v>
      </c>
      <c r="E5" s="2" t="n">
        <f aca="false">B5*1000/D5</f>
        <v>493.207547169811</v>
      </c>
      <c r="F5" s="2" t="n">
        <f aca="false">D5/47.1001</f>
        <v>112.526300368789</v>
      </c>
      <c r="G5" s="2" t="s">
        <v>100</v>
      </c>
    </row>
    <row r="6" customFormat="false" ht="15" hidden="false" customHeight="false" outlineLevel="0" collapsed="false">
      <c r="A6" s="2" t="s">
        <v>101</v>
      </c>
      <c r="B6" s="2" t="n">
        <v>185</v>
      </c>
      <c r="C6" s="2" t="n">
        <v>92</v>
      </c>
      <c r="D6" s="2" t="n">
        <v>820</v>
      </c>
      <c r="E6" s="2" t="n">
        <f aca="false">B6*1000/D6</f>
        <v>225.609756097561</v>
      </c>
      <c r="F6" s="2" t="n">
        <f aca="false">D6/47.1001</f>
        <v>17.4097294910202</v>
      </c>
      <c r="G6" s="2" t="s">
        <v>102</v>
      </c>
    </row>
    <row r="7" customFormat="false" ht="15" hidden="false" customHeight="false" outlineLevel="0" collapsed="false">
      <c r="A7" s="2" t="s">
        <v>103</v>
      </c>
      <c r="B7" s="2" t="n">
        <v>145</v>
      </c>
      <c r="C7" s="2" t="n">
        <v>0</v>
      </c>
      <c r="D7" s="2" t="n">
        <v>460</v>
      </c>
      <c r="E7" s="2" t="n">
        <f aca="false">B7*1000/D7</f>
        <v>315.217391304348</v>
      </c>
      <c r="F7" s="2" t="n">
        <f aca="false">D7/47.1001</f>
        <v>9.76643361691377</v>
      </c>
      <c r="G7" s="2" t="s">
        <v>104</v>
      </c>
    </row>
    <row r="8" customFormat="false" ht="15" hidden="false" customHeight="false" outlineLevel="0" collapsed="false">
      <c r="A8" s="2" t="s">
        <v>105</v>
      </c>
      <c r="B8" s="2" t="n">
        <v>164</v>
      </c>
      <c r="C8" s="2" t="n">
        <v>82</v>
      </c>
      <c r="D8" s="2" t="n">
        <v>819</v>
      </c>
      <c r="E8" s="2" t="n">
        <f aca="false">B8*1000/D8</f>
        <v>200.2442002442</v>
      </c>
      <c r="F8" s="2" t="n">
        <f aca="false">D8/47.1001</f>
        <v>17.3884981135921</v>
      </c>
      <c r="G8" s="2" t="s">
        <v>106</v>
      </c>
    </row>
    <row r="9" customFormat="false" ht="15" hidden="false" customHeight="false" outlineLevel="0" collapsed="false">
      <c r="A9" s="2" t="s">
        <v>107</v>
      </c>
      <c r="B9" s="2" t="n">
        <v>15832</v>
      </c>
      <c r="C9" s="2" t="n">
        <v>7912</v>
      </c>
      <c r="D9" s="2" t="n">
        <v>26800</v>
      </c>
      <c r="E9" s="2" t="n">
        <f aca="false">B9*1000/D9</f>
        <v>590.746268656716</v>
      </c>
      <c r="F9" s="2" t="n">
        <f aca="false">D9/47.1001</f>
        <v>569.000915072367</v>
      </c>
      <c r="G9" s="2" t="s">
        <v>108</v>
      </c>
    </row>
    <row r="12" customFormat="false" ht="15" hidden="false" customHeight="false" outlineLevel="0" collapsed="false">
      <c r="A12" s="14" t="s">
        <v>109</v>
      </c>
    </row>
    <row r="13" customFormat="false" ht="15" hidden="false" customHeight="false" outlineLevel="0" collapsed="false">
      <c r="A13" s="1" t="s">
        <v>110</v>
      </c>
      <c r="B13" s="1" t="s">
        <v>111</v>
      </c>
      <c r="C13" s="1" t="s">
        <v>112</v>
      </c>
      <c r="D13" s="1" t="s">
        <v>113</v>
      </c>
      <c r="E13" s="1" t="s">
        <v>114</v>
      </c>
    </row>
    <row r="14" customFormat="false" ht="15" hidden="false" customHeight="false" outlineLevel="0" collapsed="false">
      <c r="A14" s="2" t="s">
        <v>115</v>
      </c>
      <c r="B14" s="2" t="n">
        <v>374.211</v>
      </c>
      <c r="C14" s="2" t="n">
        <v>187.105</v>
      </c>
      <c r="D14" s="2" t="n">
        <f aca="false">B14/C14</f>
        <v>2.00000534459261</v>
      </c>
      <c r="E14" s="2" t="s">
        <v>116</v>
      </c>
    </row>
    <row r="15" customFormat="false" ht="15" hidden="false" customHeight="false" outlineLevel="0" collapsed="false">
      <c r="A15" s="2" t="s">
        <v>117</v>
      </c>
      <c r="B15" s="2" t="n">
        <v>119.276</v>
      </c>
      <c r="C15" s="2" t="n">
        <v>59.638</v>
      </c>
      <c r="D15" s="2" t="n">
        <f aca="false">B15/C15</f>
        <v>2</v>
      </c>
      <c r="E15" s="2" t="s">
        <v>116</v>
      </c>
    </row>
    <row r="16" customFormat="false" ht="15" hidden="false" customHeight="false" outlineLevel="0" collapsed="false">
      <c r="A16" s="2" t="s">
        <v>118</v>
      </c>
      <c r="B16" s="2" t="n">
        <v>134.218</v>
      </c>
      <c r="C16" s="2" t="n">
        <v>1.049</v>
      </c>
      <c r="D16" s="2" t="n">
        <f aca="false">B16/C16</f>
        <v>127.948522402288</v>
      </c>
      <c r="E16" s="2" t="s">
        <v>116</v>
      </c>
    </row>
    <row r="17" customFormat="false" ht="15" hidden="false" customHeight="false" outlineLevel="0" collapsed="false">
      <c r="A17" s="2" t="s">
        <v>119</v>
      </c>
      <c r="B17" s="2" t="n">
        <v>167.772</v>
      </c>
      <c r="C17" s="2" t="n">
        <v>83.886</v>
      </c>
      <c r="D17" s="2" t="n">
        <f aca="false">B17/C17</f>
        <v>2</v>
      </c>
      <c r="E17" s="2" t="s">
        <v>116</v>
      </c>
    </row>
    <row r="18" customFormat="false" ht="15" hidden="false" customHeight="false" outlineLevel="0" collapsed="false">
      <c r="A18" s="2" t="s">
        <v>120</v>
      </c>
      <c r="B18" s="2" t="n">
        <v>792.723</v>
      </c>
      <c r="C18" s="2" t="n">
        <v>396.362</v>
      </c>
      <c r="D18" s="2" t="n">
        <f aca="false">B18/C18</f>
        <v>1.9999974770538</v>
      </c>
      <c r="E18" s="2" t="s">
        <v>116</v>
      </c>
    </row>
    <row r="19" customFormat="false" ht="15" hidden="false" customHeight="false" outlineLevel="0" collapsed="false">
      <c r="A19" s="2" t="s">
        <v>121</v>
      </c>
      <c r="B19" s="2" t="n">
        <v>3.67</v>
      </c>
      <c r="C19" s="2" t="n">
        <v>1.835</v>
      </c>
      <c r="D19" s="2" t="n">
        <f aca="false">B19/C19</f>
        <v>2</v>
      </c>
      <c r="E19" s="2" t="s">
        <v>116</v>
      </c>
    </row>
    <row r="20" customFormat="false" ht="15" hidden="false" customHeight="false" outlineLevel="0" collapsed="false">
      <c r="A20" s="2" t="s">
        <v>122</v>
      </c>
      <c r="B20" s="2" t="n">
        <v>88.08</v>
      </c>
      <c r="C20" s="2" t="n">
        <v>44.04</v>
      </c>
      <c r="D20" s="2" t="n">
        <f aca="false">B20/C20</f>
        <v>2</v>
      </c>
      <c r="E20" s="2" t="s">
        <v>116</v>
      </c>
    </row>
    <row r="21" customFormat="false" ht="15" hidden="false" customHeight="false" outlineLevel="0" collapsed="false">
      <c r="A21" s="2" t="s">
        <v>123</v>
      </c>
      <c r="B21" s="2" t="n">
        <v>704.643</v>
      </c>
      <c r="C21" s="2" t="n">
        <v>352.322</v>
      </c>
      <c r="D21" s="2" t="n">
        <f aca="false">B21/C21</f>
        <v>1.99999716168732</v>
      </c>
      <c r="E21" s="2" t="s">
        <v>116</v>
      </c>
    </row>
    <row r="22" customFormat="false" ht="15" hidden="false" customHeight="false" outlineLevel="0" collapsed="false">
      <c r="A22" s="2" t="s">
        <v>80</v>
      </c>
      <c r="B22" s="2" t="n">
        <v>1853.358</v>
      </c>
      <c r="C22" s="2" t="n">
        <v>926.679</v>
      </c>
      <c r="D22" s="2" t="n">
        <f aca="false">B22/C22</f>
        <v>2</v>
      </c>
      <c r="E22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5" t="s">
        <v>124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7" t="s">
        <v>125</v>
      </c>
    </row>
    <row r="4" customFormat="false" ht="15" hidden="false" customHeight="false" outlineLevel="0" collapsed="false">
      <c r="A4" s="16" t="s">
        <v>126</v>
      </c>
    </row>
    <row r="5" customFormat="false" ht="15" hidden="false" customHeight="false" outlineLevel="0" collapsed="false">
      <c r="A5" s="16" t="s">
        <v>127</v>
      </c>
    </row>
    <row r="6" customFormat="false" ht="15" hidden="false" customHeight="false" outlineLevel="0" collapsed="false">
      <c r="A6" s="16" t="s">
        <v>128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7" t="s">
        <v>129</v>
      </c>
    </row>
    <row r="9" customFormat="false" ht="15" hidden="false" customHeight="false" outlineLevel="0" collapsed="false">
      <c r="A9" s="16" t="s">
        <v>130</v>
      </c>
    </row>
    <row r="10" customFormat="false" ht="15" hidden="false" customHeight="false" outlineLevel="0" collapsed="false">
      <c r="A10" s="16" t="s">
        <v>131</v>
      </c>
    </row>
    <row r="11" customFormat="false" ht="15" hidden="false" customHeight="false" outlineLevel="0" collapsed="false">
      <c r="A11" s="16" t="s">
        <v>132</v>
      </c>
    </row>
    <row r="12" customFormat="false" ht="15" hidden="false" customHeight="false" outlineLevel="0" collapsed="false">
      <c r="A12" s="16"/>
    </row>
    <row r="13" customFormat="false" ht="15" hidden="false" customHeight="false" outlineLevel="0" collapsed="false">
      <c r="A13" s="17" t="s">
        <v>133</v>
      </c>
    </row>
    <row r="14" customFormat="false" ht="15" hidden="false" customHeight="false" outlineLevel="0" collapsed="false">
      <c r="A14" s="16" t="s">
        <v>134</v>
      </c>
    </row>
    <row r="15" customFormat="false" ht="15" hidden="false" customHeight="false" outlineLevel="0" collapsed="false">
      <c r="A15" s="16" t="s">
        <v>135</v>
      </c>
    </row>
    <row r="16" customFormat="false" ht="15" hidden="false" customHeight="false" outlineLevel="0" collapsed="false">
      <c r="A16" s="16" t="s">
        <v>136</v>
      </c>
    </row>
    <row r="17" customFormat="false" ht="15" hidden="false" customHeight="false" outlineLevel="0" collapsed="false">
      <c r="A17" s="16" t="s">
        <v>137</v>
      </c>
    </row>
    <row r="18" customFormat="false" ht="15" hidden="false" customHeight="false" outlineLevel="0" collapsed="false">
      <c r="A18" s="16" t="s">
        <v>138</v>
      </c>
    </row>
    <row r="19" customFormat="false" ht="15" hidden="false" customHeight="false" outlineLevel="0" collapsed="false">
      <c r="A19" s="16" t="s">
        <v>139</v>
      </c>
    </row>
    <row r="20" customFormat="false" ht="15" hidden="false" customHeight="false" outlineLevel="0" collapsed="false">
      <c r="A20" s="16"/>
    </row>
    <row r="21" customFormat="false" ht="15" hidden="false" customHeight="false" outlineLevel="0" collapsed="false">
      <c r="A21" s="17" t="s">
        <v>140</v>
      </c>
    </row>
    <row r="22" customFormat="false" ht="15" hidden="false" customHeight="false" outlineLevel="0" collapsed="false">
      <c r="A22" s="16" t="s">
        <v>141</v>
      </c>
    </row>
    <row r="23" customFormat="false" ht="15" hidden="false" customHeight="false" outlineLevel="0" collapsed="false">
      <c r="A23" s="16" t="s">
        <v>142</v>
      </c>
    </row>
    <row r="24" customFormat="false" ht="15" hidden="false" customHeight="false" outlineLevel="0" collapsed="false">
      <c r="A24" s="16" t="s">
        <v>143</v>
      </c>
    </row>
    <row r="25" customFormat="false" ht="15" hidden="false" customHeight="false" outlineLevel="0" collapsed="false">
      <c r="A25" s="16" t="s">
        <v>144</v>
      </c>
    </row>
    <row r="26" customFormat="false" ht="15" hidden="false" customHeight="false" outlineLevel="0" collapsed="false">
      <c r="A26" s="16"/>
    </row>
    <row r="27" customFormat="false" ht="15" hidden="false" customHeight="false" outlineLevel="0" collapsed="false">
      <c r="A27" s="17" t="s">
        <v>145</v>
      </c>
    </row>
    <row r="28" customFormat="false" ht="15" hidden="false" customHeight="false" outlineLevel="0" collapsed="false">
      <c r="A28" s="16" t="s">
        <v>146</v>
      </c>
    </row>
    <row r="29" customFormat="false" ht="15" hidden="false" customHeight="false" outlineLevel="0" collapsed="false">
      <c r="A29" s="16" t="s">
        <v>147</v>
      </c>
    </row>
    <row r="30" customFormat="false" ht="15" hidden="false" customHeight="false" outlineLevel="0" collapsed="false">
      <c r="A30" s="16" t="s">
        <v>148</v>
      </c>
    </row>
    <row r="31" customFormat="false" ht="15" hidden="false" customHeight="false" outlineLevel="0" collapsed="false">
      <c r="A31" s="16"/>
    </row>
    <row r="32" customFormat="false" ht="15" hidden="false" customHeight="false" outlineLevel="0" collapsed="false">
      <c r="A32" s="17" t="s">
        <v>149</v>
      </c>
    </row>
    <row r="33" customFormat="false" ht="15" hidden="false" customHeight="false" outlineLevel="0" collapsed="false">
      <c r="A33" s="16" t="s">
        <v>150</v>
      </c>
    </row>
    <row r="34" customFormat="false" ht="15" hidden="false" customHeight="false" outlineLevel="0" collapsed="false">
      <c r="A34" s="16" t="s">
        <v>151</v>
      </c>
    </row>
    <row r="35" customFormat="false" ht="15" hidden="false" customHeight="false" outlineLevel="0" collapsed="false">
      <c r="A35" s="16" t="s">
        <v>152</v>
      </c>
    </row>
    <row r="36" customFormat="false" ht="15" hidden="false" customHeight="false" outlineLevel="0" collapsed="false">
      <c r="A36" s="16" t="s">
        <v>153</v>
      </c>
    </row>
    <row r="37" customFormat="false" ht="15" hidden="false" customHeight="false" outlineLevel="0" collapsed="false">
      <c r="A37" s="16"/>
    </row>
    <row r="38" customFormat="false" ht="15" hidden="false" customHeight="false" outlineLevel="0" collapsed="false">
      <c r="A38" s="17" t="s">
        <v>154</v>
      </c>
    </row>
    <row r="39" customFormat="false" ht="15" hidden="false" customHeight="false" outlineLevel="0" collapsed="false">
      <c r="A39" s="16" t="s">
        <v>155</v>
      </c>
    </row>
    <row r="40" customFormat="false" ht="15" hidden="false" customHeight="false" outlineLevel="0" collapsed="false">
      <c r="A40" s="16" t="s">
        <v>156</v>
      </c>
    </row>
    <row r="41" customFormat="false" ht="15" hidden="false" customHeight="false" outlineLevel="0" collapsed="false">
      <c r="A41" s="16" t="s">
        <v>157</v>
      </c>
    </row>
    <row r="42" customFormat="false" ht="15" hidden="false" customHeight="false" outlineLevel="0" collapsed="false">
      <c r="A42" s="16" t="s">
        <v>158</v>
      </c>
    </row>
    <row r="43" customFormat="false" ht="15" hidden="false" customHeight="false" outlineLevel="0" collapsed="false">
      <c r="A43" s="16" t="s">
        <v>159</v>
      </c>
    </row>
    <row r="44" customFormat="false" ht="15" hidden="false" customHeight="false" outlineLevel="0" collapsed="false">
      <c r="A44" s="16"/>
    </row>
    <row r="45" customFormat="false" ht="15" hidden="false" customHeight="false" outlineLevel="0" collapsed="false">
      <c r="A45" s="17" t="s">
        <v>160</v>
      </c>
    </row>
    <row r="46" customFormat="false" ht="15" hidden="false" customHeight="false" outlineLevel="0" collapsed="false">
      <c r="A46" s="16" t="s">
        <v>161</v>
      </c>
    </row>
    <row r="47" customFormat="false" ht="15" hidden="false" customHeight="false" outlineLevel="0" collapsed="false">
      <c r="A47" s="16" t="s">
        <v>162</v>
      </c>
    </row>
    <row r="48" customFormat="false" ht="15" hidden="false" customHeight="false" outlineLevel="0" collapsed="false">
      <c r="A48" s="16" t="s">
        <v>163</v>
      </c>
    </row>
    <row r="49" customFormat="false" ht="15" hidden="false" customHeight="false" outlineLevel="0" collapsed="false">
      <c r="A49" s="16" t="s">
        <v>164</v>
      </c>
    </row>
    <row r="50" customFormat="false" ht="15" hidden="false" customHeight="false" outlineLevel="0" collapsed="false">
      <c r="A50" s="16" t="s">
        <v>165</v>
      </c>
    </row>
    <row r="51" customFormat="false" ht="15" hidden="false" customHeight="false" outlineLevel="0" collapsed="false">
      <c r="A51" s="16" t="s">
        <v>166</v>
      </c>
    </row>
    <row r="52" customFormat="false" ht="15" hidden="false" customHeight="false" outlineLevel="0" collapsed="false">
      <c r="A52" s="16" t="s">
        <v>167</v>
      </c>
    </row>
    <row r="53" customFormat="false" ht="15" hidden="false" customHeight="false" outlineLevel="0" collapsed="false">
      <c r="A53" s="16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2026-05-23T12:00:22Z</dcterms:created>
  <dc:creator>openpyxl</dc:creator>
  <dc:description/>
  <dc:language>en-US</dc:language>
  <cp:lastModifiedBy/>
  <dcterms:modified xsi:type="dcterms:W3CDTF">2026-05-23T12:00:22Z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